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7.xml" ContentType="application/vnd.openxmlformats-officedocument.drawingml.chart+xml"/>
  <Override PartName="/xl/drawings/drawing3.xml" ContentType="application/vnd.openxmlformats-officedocument.drawing+xml"/>
  <Override PartName="/xl/charts/chart18.xml" ContentType="application/vnd.openxmlformats-officedocument.drawingml.chart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drawings/drawing9.xml" ContentType="application/vnd.openxmlformats-officedocument.drawing+xml"/>
  <Override PartName="/xl/charts/chart24.xml" ContentType="application/vnd.openxmlformats-officedocument.drawingml.chart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\Documents\Famille\06 - Bateau\maquette bateau\"/>
    </mc:Choice>
  </mc:AlternateContent>
  <xr:revisionPtr revIDLastSave="0" documentId="13_ncr:40009_{0D44FA35-C837-4AD9-9275-513CBAB949C1}" xr6:coauthVersionLast="47" xr6:coauthVersionMax="47" xr10:uidLastSave="{00000000-0000-0000-0000-000000000000}"/>
  <bookViews>
    <workbookView xWindow="28710" yWindow="-16395" windowWidth="29040" windowHeight="15720" tabRatio="951"/>
  </bookViews>
  <sheets>
    <sheet name="Données Générales" sheetId="1" r:id="rId1"/>
    <sheet name="Gréément" sheetId="100" r:id="rId2"/>
    <sheet name="Voiles" sheetId="112" r:id="rId3"/>
    <sheet name="Plan derive" sheetId="111" r:id="rId4"/>
    <sheet name="Resultats" sheetId="99" r:id="rId5"/>
    <sheet name="Plans_XY" sheetId="107" r:id="rId6"/>
    <sheet name="Plans_XZ" sheetId="105" r:id="rId7"/>
    <sheet name="Courb_aires" sheetId="110" r:id="rId8"/>
    <sheet name="Assiette" sheetId="33" r:id="rId9"/>
    <sheet name="Surfaces" sheetId="94" r:id="rId10"/>
    <sheet name="Crx" sheetId="95" r:id="rId11"/>
    <sheet name="Parametrique" sheetId="2" r:id="rId12"/>
    <sheet name="P(F1)" sheetId="3" r:id="rId13"/>
    <sheet name="P(H1)" sheetId="5" r:id="rId14"/>
    <sheet name="Formes_2" sheetId="106" r:id="rId15"/>
    <sheet name="formes" sheetId="104" r:id="rId16"/>
    <sheet name="Aires" sheetId="101" r:id="rId17"/>
    <sheet name="Polynomes" sheetId="32" r:id="rId18"/>
    <sheet name="Vide" sheetId="30" r:id="rId19"/>
  </sheets>
  <functionGroups builtInGroupCount="19"/>
  <calcPr calcId="191029"/>
  <customWorkbookViews>
    <customWorkbookView name="Vincent - Affichage personnalisé" guid="{6F7781FF-4227-45E9-9A1D-AE63B35B3D6B}" mergeInterval="0" personalView="1" maximized="1" windowWidth="1020" windowHeight="570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3" i="99" l="1"/>
  <c r="A2" i="112"/>
  <c r="B2" i="112"/>
  <c r="B3" i="112"/>
  <c r="C3" i="112"/>
  <c r="B4" i="112"/>
  <c r="C4" i="112"/>
  <c r="A6" i="112"/>
  <c r="B6" i="112"/>
  <c r="B7" i="112"/>
  <c r="C7" i="112"/>
  <c r="B8" i="112"/>
  <c r="A10" i="112"/>
  <c r="B10" i="112"/>
  <c r="B11" i="112"/>
  <c r="C11" i="112"/>
  <c r="B12" i="112"/>
  <c r="A14" i="112"/>
  <c r="B14" i="112"/>
  <c r="B15" i="112"/>
  <c r="C15" i="112"/>
  <c r="B16" i="112"/>
  <c r="A18" i="112"/>
  <c r="B18" i="112"/>
  <c r="B19" i="112"/>
  <c r="C19" i="112"/>
  <c r="B20" i="112"/>
  <c r="A22" i="112"/>
  <c r="B22" i="112"/>
  <c r="B23" i="112"/>
  <c r="C23" i="112"/>
  <c r="B24" i="112"/>
  <c r="C24" i="112"/>
  <c r="C10" i="100"/>
  <c r="G8" i="100" s="1"/>
  <c r="B1" i="100"/>
  <c r="W6" i="1"/>
  <c r="AH12" i="1" s="1"/>
  <c r="AA3" i="1"/>
  <c r="AB3" i="1"/>
  <c r="AC3" i="1"/>
  <c r="AD3" i="1"/>
  <c r="AE3" i="1"/>
  <c r="AF3" i="1"/>
  <c r="AG3" i="1"/>
  <c r="AH3" i="1"/>
  <c r="AI3" i="1"/>
  <c r="AJ3" i="1"/>
  <c r="V6" i="1"/>
  <c r="AH8" i="1"/>
  <c r="Z3" i="1"/>
  <c r="Z12" i="1"/>
  <c r="AA12" i="1"/>
  <c r="AB12" i="1"/>
  <c r="Z13" i="1"/>
  <c r="AA13" i="1"/>
  <c r="AB13" i="1"/>
  <c r="AH9" i="1"/>
  <c r="Z8" i="1"/>
  <c r="AA8" i="1"/>
  <c r="AB8" i="1"/>
  <c r="Z9" i="1"/>
  <c r="AA9" i="1"/>
  <c r="AB9" i="1"/>
  <c r="C13" i="100"/>
  <c r="I6" i="111"/>
  <c r="H6" i="111"/>
  <c r="I5" i="111"/>
  <c r="H5" i="111"/>
  <c r="D15" i="1"/>
  <c r="F26" i="111"/>
  <c r="E28" i="111"/>
  <c r="E29" i="111" s="1"/>
  <c r="F4" i="1"/>
  <c r="G4" i="1"/>
  <c r="K4" i="1"/>
  <c r="I3" i="2" s="1"/>
  <c r="L4" i="1"/>
  <c r="I4" i="2" s="1"/>
  <c r="B6" i="1"/>
  <c r="F18" i="1"/>
  <c r="F7" i="1"/>
  <c r="G7" i="1"/>
  <c r="B9" i="1"/>
  <c r="L7" i="1"/>
  <c r="I7" i="2" s="1"/>
  <c r="G10" i="1"/>
  <c r="K10" i="1"/>
  <c r="L10" i="1"/>
  <c r="G13" i="1"/>
  <c r="H13" i="2" s="1"/>
  <c r="K13" i="1"/>
  <c r="I12" i="2" s="1"/>
  <c r="L13" i="1"/>
  <c r="B15" i="1"/>
  <c r="B16" i="1"/>
  <c r="G16" i="1"/>
  <c r="H16" i="2" s="1"/>
  <c r="K16" i="1"/>
  <c r="L16" i="1"/>
  <c r="I16" i="2" s="1"/>
  <c r="G18" i="1"/>
  <c r="H19" i="2" s="1"/>
  <c r="K18" i="1"/>
  <c r="I18" i="2" s="1"/>
  <c r="L18" i="1"/>
  <c r="I19" i="2" s="1"/>
  <c r="G18" i="3"/>
  <c r="H18" i="3"/>
  <c r="I18" i="3"/>
  <c r="K18" i="3"/>
  <c r="L18" i="3"/>
  <c r="M18" i="3"/>
  <c r="M25" i="32" s="1"/>
  <c r="C41" i="1"/>
  <c r="J19" i="2" s="1"/>
  <c r="D41" i="1"/>
  <c r="E41" i="1"/>
  <c r="F41" i="1"/>
  <c r="G41" i="1"/>
  <c r="N19" i="2" s="1"/>
  <c r="H41" i="1"/>
  <c r="O19" i="2" s="1"/>
  <c r="I41" i="1"/>
  <c r="P19" i="2" s="1"/>
  <c r="J41" i="1"/>
  <c r="Q19" i="2" s="1"/>
  <c r="K41" i="1"/>
  <c r="R19" i="2" s="1"/>
  <c r="L41" i="1"/>
  <c r="S19" i="2" s="1"/>
  <c r="M41" i="1"/>
  <c r="T19" i="2" s="1"/>
  <c r="B2" i="100"/>
  <c r="C3" i="100" s="1"/>
  <c r="G2" i="100"/>
  <c r="G4" i="100"/>
  <c r="C6" i="100"/>
  <c r="C7" i="100"/>
  <c r="C8" i="100"/>
  <c r="G24" i="100" s="1"/>
  <c r="G16" i="100"/>
  <c r="G18" i="100"/>
  <c r="I21" i="100"/>
  <c r="J21" i="100"/>
  <c r="I22" i="100"/>
  <c r="J22" i="100"/>
  <c r="J23" i="100" s="1"/>
  <c r="I23" i="100"/>
  <c r="J24" i="100"/>
  <c r="G27" i="100"/>
  <c r="C28" i="100"/>
  <c r="C29" i="100"/>
  <c r="C33" i="100" s="1"/>
  <c r="G32" i="100"/>
  <c r="C34" i="100"/>
  <c r="C35" i="100"/>
  <c r="H2" i="111"/>
  <c r="I2" i="111"/>
  <c r="H3" i="111"/>
  <c r="I3" i="111"/>
  <c r="C8" i="111"/>
  <c r="E8" i="111"/>
  <c r="C9" i="111"/>
  <c r="E9" i="111"/>
  <c r="C10" i="111"/>
  <c r="E10" i="111"/>
  <c r="C11" i="111"/>
  <c r="E11" i="111"/>
  <c r="B15" i="111"/>
  <c r="D15" i="111"/>
  <c r="B16" i="111"/>
  <c r="D16" i="111"/>
  <c r="E21" i="111"/>
  <c r="B24" i="111"/>
  <c r="U3" i="99"/>
  <c r="U9" i="99"/>
  <c r="H3" i="2"/>
  <c r="J3" i="2"/>
  <c r="K3" i="2"/>
  <c r="L3" i="2"/>
  <c r="M3" i="2"/>
  <c r="N3" i="2"/>
  <c r="O3" i="2"/>
  <c r="P3" i="2"/>
  <c r="Q3" i="2"/>
  <c r="R3" i="2"/>
  <c r="S3" i="2"/>
  <c r="T3" i="2"/>
  <c r="C4" i="2"/>
  <c r="H6" i="2"/>
  <c r="H4" i="2"/>
  <c r="H10" i="2"/>
  <c r="H7" i="2"/>
  <c r="C5" i="2"/>
  <c r="C6" i="2"/>
  <c r="C7" i="2"/>
  <c r="C8" i="2"/>
  <c r="E8" i="2"/>
  <c r="AC9" i="3" s="1"/>
  <c r="C9" i="2"/>
  <c r="I9" i="2"/>
  <c r="C10" i="2"/>
  <c r="I10" i="2"/>
  <c r="C11" i="2"/>
  <c r="C12" i="2"/>
  <c r="C13" i="2"/>
  <c r="I13" i="2"/>
  <c r="C14" i="2"/>
  <c r="I15" i="2"/>
  <c r="K19" i="2"/>
  <c r="L19" i="2"/>
  <c r="M19" i="2"/>
  <c r="C28" i="2"/>
  <c r="I28" i="2"/>
  <c r="C29" i="2"/>
  <c r="I29" i="2"/>
  <c r="C30" i="2"/>
  <c r="E30" i="2"/>
  <c r="AC7" i="5" s="1"/>
  <c r="I30" i="2"/>
  <c r="C31" i="2"/>
  <c r="E31" i="2"/>
  <c r="AC8" i="5" s="1"/>
  <c r="I31" i="2"/>
  <c r="C32" i="2"/>
  <c r="I32" i="2"/>
  <c r="C33" i="2"/>
  <c r="I33" i="2"/>
  <c r="C34" i="2"/>
  <c r="I34" i="2"/>
  <c r="C35" i="2"/>
  <c r="I35" i="2"/>
  <c r="C36" i="2"/>
  <c r="I36" i="2"/>
  <c r="C37" i="2"/>
  <c r="I37" i="2"/>
  <c r="C38" i="2"/>
  <c r="I38" i="2"/>
  <c r="C14" i="3"/>
  <c r="D14" i="3"/>
  <c r="E14" i="3"/>
  <c r="F14" i="3"/>
  <c r="G14" i="3"/>
  <c r="H14" i="3"/>
  <c r="I14" i="3"/>
  <c r="J14" i="3"/>
  <c r="K14" i="3"/>
  <c r="L14" i="3"/>
  <c r="M14" i="3"/>
  <c r="E14" i="5"/>
  <c r="F14" i="5"/>
  <c r="G14" i="5"/>
  <c r="H14" i="5"/>
  <c r="I14" i="5"/>
  <c r="J14" i="5"/>
  <c r="K14" i="5"/>
  <c r="L14" i="5"/>
  <c r="C1" i="32"/>
  <c r="D1" i="32"/>
  <c r="E1" i="32"/>
  <c r="F1" i="32"/>
  <c r="G1" i="32"/>
  <c r="H1" i="32"/>
  <c r="I1" i="32"/>
  <c r="J1" i="32"/>
  <c r="K1" i="32"/>
  <c r="L1" i="32"/>
  <c r="M1" i="32"/>
  <c r="C19" i="32"/>
  <c r="C25" i="32"/>
  <c r="G25" i="32"/>
  <c r="H25" i="32"/>
  <c r="I25" i="32"/>
  <c r="K25" i="32"/>
  <c r="L25" i="32"/>
  <c r="A2" i="30"/>
  <c r="C8" i="112" l="1"/>
  <c r="F2" i="112" s="1"/>
  <c r="G12" i="100"/>
  <c r="G28" i="100"/>
  <c r="G10" i="100"/>
  <c r="C10" i="112" s="1"/>
  <c r="G14" i="100"/>
  <c r="C2" i="112"/>
  <c r="D37" i="2"/>
  <c r="Q14" i="5" s="1"/>
  <c r="C5" i="100"/>
  <c r="G6" i="100" s="1"/>
  <c r="C9" i="100"/>
  <c r="G22" i="100" s="1"/>
  <c r="E5" i="2"/>
  <c r="AC6" i="3" s="1"/>
  <c r="E9" i="2"/>
  <c r="AC10" i="3" s="1"/>
  <c r="E14" i="2"/>
  <c r="AC15" i="3" s="1"/>
  <c r="E6" i="2"/>
  <c r="AC7" i="3" s="1"/>
  <c r="E35" i="2"/>
  <c r="AC12" i="5" s="1"/>
  <c r="E33" i="2"/>
  <c r="AC10" i="5" s="1"/>
  <c r="E34" i="2"/>
  <c r="AC11" i="5" s="1"/>
  <c r="E36" i="2"/>
  <c r="AC13" i="5" s="1"/>
  <c r="E13" i="2"/>
  <c r="AC14" i="3" s="1"/>
  <c r="D7" i="2"/>
  <c r="Q8" i="3" s="1"/>
  <c r="D14" i="2"/>
  <c r="Q15" i="3" s="1"/>
  <c r="D11" i="2"/>
  <c r="Q12" i="3" s="1"/>
  <c r="D5" i="2"/>
  <c r="Q6" i="3" s="1"/>
  <c r="D9" i="2"/>
  <c r="Q10" i="3" s="1"/>
  <c r="D13" i="2"/>
  <c r="Q14" i="3" s="1"/>
  <c r="E4" i="2"/>
  <c r="AC5" i="3" s="1"/>
  <c r="D12" i="2"/>
  <c r="Q13" i="3" s="1"/>
  <c r="E32" i="2"/>
  <c r="AC9" i="5" s="1"/>
  <c r="F4" i="112"/>
  <c r="E38" i="2"/>
  <c r="AC15" i="5" s="1"/>
  <c r="D28" i="2"/>
  <c r="Q5" i="5" s="1"/>
  <c r="D31" i="2"/>
  <c r="Q8" i="5" s="1"/>
  <c r="AD7" i="1" a="1"/>
  <c r="H18" i="2"/>
  <c r="F10" i="1"/>
  <c r="H9" i="2" s="1"/>
  <c r="F13" i="1"/>
  <c r="H12" i="2" s="1"/>
  <c r="F16" i="1"/>
  <c r="H15" i="2" s="1"/>
  <c r="AD11" i="1" a="1"/>
  <c r="D6" i="2"/>
  <c r="Q7" i="3" s="1"/>
  <c r="C18" i="112"/>
  <c r="E37" i="2"/>
  <c r="AC14" i="5" s="1"/>
  <c r="E29" i="2"/>
  <c r="AC6" i="5" s="1"/>
  <c r="E28" i="2"/>
  <c r="AC5" i="5" s="1"/>
  <c r="E12" i="2"/>
  <c r="AC13" i="3" s="1"/>
  <c r="C16" i="112"/>
  <c r="E11" i="2"/>
  <c r="AC12" i="3" s="1"/>
  <c r="M14" i="5"/>
  <c r="K7" i="1"/>
  <c r="I6" i="2" s="1"/>
  <c r="D38" i="2" s="1"/>
  <c r="Q15" i="5" s="1"/>
  <c r="E18" i="3"/>
  <c r="E25" i="32" s="1"/>
  <c r="F18" i="3"/>
  <c r="F25" i="32" s="1"/>
  <c r="D14" i="5"/>
  <c r="J18" i="3"/>
  <c r="J25" i="32" s="1"/>
  <c r="D10" i="2"/>
  <c r="Q11" i="3" s="1"/>
  <c r="E10" i="2"/>
  <c r="AC11" i="3" s="1"/>
  <c r="D18" i="3"/>
  <c r="D25" i="32" s="1"/>
  <c r="R2" i="32" s="1" a="1"/>
  <c r="D36" i="2"/>
  <c r="Q13" i="5" s="1"/>
  <c r="E7" i="2"/>
  <c r="AC8" i="3" s="1"/>
  <c r="C22" i="112" l="1"/>
  <c r="C6" i="112"/>
  <c r="F6" i="112" s="1"/>
  <c r="G26" i="100"/>
  <c r="R13" i="5"/>
  <c r="T13" i="5"/>
  <c r="U13" i="5"/>
  <c r="Z13" i="5"/>
  <c r="W13" i="5"/>
  <c r="X13" i="5"/>
  <c r="S13" i="5"/>
  <c r="V13" i="5"/>
  <c r="Y13" i="5"/>
  <c r="U14" i="3"/>
  <c r="V14" i="3"/>
  <c r="T14" i="3"/>
  <c r="W14" i="3"/>
  <c r="R14" i="3"/>
  <c r="S14" i="3"/>
  <c r="X14" i="3"/>
  <c r="Y14" i="3"/>
  <c r="Z14" i="3"/>
  <c r="W8" i="5"/>
  <c r="R8" i="5"/>
  <c r="S8" i="5"/>
  <c r="U8" i="5"/>
  <c r="V8" i="5"/>
  <c r="X8" i="5"/>
  <c r="Y8" i="5"/>
  <c r="Z8" i="5"/>
  <c r="T8" i="5"/>
  <c r="S7" i="3"/>
  <c r="T7" i="3"/>
  <c r="X7" i="3"/>
  <c r="R7" i="3"/>
  <c r="U7" i="3"/>
  <c r="V7" i="3"/>
  <c r="W7" i="3"/>
  <c r="Y7" i="3"/>
  <c r="Z7" i="3"/>
  <c r="AE12" i="1"/>
  <c r="AF12" i="1"/>
  <c r="AD11" i="1"/>
  <c r="AE11" i="1"/>
  <c r="AF11" i="1"/>
  <c r="AD12" i="1"/>
  <c r="AD13" i="1"/>
  <c r="AF13" i="1"/>
  <c r="AE13" i="1"/>
  <c r="R2" i="32"/>
  <c r="R11" i="32"/>
  <c r="R7" i="32"/>
  <c r="R6" i="32"/>
  <c r="R12" i="32"/>
  <c r="R9" i="32"/>
  <c r="R10" i="32"/>
  <c r="R5" i="32"/>
  <c r="R8" i="32"/>
  <c r="R4" i="32"/>
  <c r="R3" i="32"/>
  <c r="Z10" i="3"/>
  <c r="Y10" i="3"/>
  <c r="R10" i="3"/>
  <c r="S10" i="3"/>
  <c r="T10" i="3"/>
  <c r="U10" i="3"/>
  <c r="V10" i="3"/>
  <c r="W10" i="3"/>
  <c r="X10" i="3"/>
  <c r="W13" i="3"/>
  <c r="X13" i="3"/>
  <c r="R13" i="3"/>
  <c r="T13" i="3"/>
  <c r="U13" i="3"/>
  <c r="Z13" i="3"/>
  <c r="S13" i="3"/>
  <c r="Y13" i="3"/>
  <c r="V13" i="3"/>
  <c r="T6" i="3"/>
  <c r="U6" i="3"/>
  <c r="S6" i="3"/>
  <c r="R6" i="3"/>
  <c r="W6" i="3"/>
  <c r="X6" i="3"/>
  <c r="Y6" i="3"/>
  <c r="Z6" i="3"/>
  <c r="V6" i="3"/>
  <c r="Y5" i="5"/>
  <c r="Z5" i="5"/>
  <c r="X5" i="5"/>
  <c r="R5" i="5"/>
  <c r="S5" i="5"/>
  <c r="T5" i="5"/>
  <c r="W5" i="5"/>
  <c r="U5" i="5"/>
  <c r="V5" i="5"/>
  <c r="Y11" i="3"/>
  <c r="Z11" i="3"/>
  <c r="T11" i="3"/>
  <c r="V11" i="3"/>
  <c r="W11" i="3"/>
  <c r="X11" i="3"/>
  <c r="U11" i="3"/>
  <c r="R11" i="3"/>
  <c r="S11" i="3"/>
  <c r="X12" i="3"/>
  <c r="Y12" i="3"/>
  <c r="R12" i="3"/>
  <c r="S12" i="3"/>
  <c r="T12" i="3"/>
  <c r="U12" i="3"/>
  <c r="V12" i="3"/>
  <c r="W12" i="3"/>
  <c r="Z12" i="3"/>
  <c r="D29" i="2"/>
  <c r="Q6" i="5" s="1"/>
  <c r="V14" i="5"/>
  <c r="W14" i="5"/>
  <c r="R14" i="5"/>
  <c r="T14" i="5"/>
  <c r="S14" i="5"/>
  <c r="U14" i="5"/>
  <c r="Z14" i="5"/>
  <c r="X14" i="5"/>
  <c r="Y14" i="5"/>
  <c r="R8" i="3"/>
  <c r="S8" i="3"/>
  <c r="V8" i="3"/>
  <c r="X8" i="3"/>
  <c r="W8" i="3"/>
  <c r="Z8" i="3"/>
  <c r="T8" i="3"/>
  <c r="Y8" i="3"/>
  <c r="U8" i="3"/>
  <c r="D35" i="2"/>
  <c r="Q12" i="5" s="1"/>
  <c r="D8" i="2"/>
  <c r="Q9" i="3" s="1"/>
  <c r="D4" i="2"/>
  <c r="Q5" i="3" s="1"/>
  <c r="C14" i="112"/>
  <c r="G31" i="100"/>
  <c r="F5" i="112"/>
  <c r="F3" i="112"/>
  <c r="G20" i="100"/>
  <c r="G34" i="100" s="1"/>
  <c r="G29" i="100"/>
  <c r="C12" i="112"/>
  <c r="T15" i="3"/>
  <c r="U15" i="3"/>
  <c r="Y15" i="3"/>
  <c r="W15" i="3"/>
  <c r="X15" i="3"/>
  <c r="Z15" i="3"/>
  <c r="R15" i="3"/>
  <c r="S15" i="3"/>
  <c r="V15" i="3"/>
  <c r="Y15" i="5"/>
  <c r="Z15" i="5"/>
  <c r="V15" i="5"/>
  <c r="W15" i="5"/>
  <c r="X15" i="5"/>
  <c r="T15" i="5"/>
  <c r="U15" i="5"/>
  <c r="S15" i="5"/>
  <c r="R15" i="5"/>
  <c r="D34" i="2"/>
  <c r="Q11" i="5" s="1"/>
  <c r="D33" i="2"/>
  <c r="Q10" i="5" s="1"/>
  <c r="D30" i="2"/>
  <c r="Q7" i="5" s="1"/>
  <c r="AE9" i="1"/>
  <c r="AF9" i="1"/>
  <c r="AF7" i="1"/>
  <c r="AD8" i="1"/>
  <c r="AE8" i="1"/>
  <c r="AF8" i="1"/>
  <c r="AD9" i="1"/>
  <c r="AD7" i="1"/>
  <c r="AE7" i="1"/>
  <c r="D32" i="2"/>
  <c r="Q9" i="5" s="1"/>
  <c r="F19" i="112" l="1"/>
  <c r="F17" i="112"/>
  <c r="C27" i="112"/>
  <c r="F16" i="112" s="1"/>
  <c r="AA8" i="32"/>
  <c r="X8" i="32"/>
  <c r="Y8" i="32"/>
  <c r="T8" i="32"/>
  <c r="S8" i="32"/>
  <c r="U8" i="32"/>
  <c r="Z8" i="32"/>
  <c r="V8" i="32"/>
  <c r="W8" i="32"/>
  <c r="U3" i="32"/>
  <c r="Y3" i="32"/>
  <c r="Z3" i="32"/>
  <c r="T3" i="32"/>
  <c r="V3" i="32"/>
  <c r="W3" i="32"/>
  <c r="X3" i="32"/>
  <c r="AA3" i="32"/>
  <c r="S3" i="32"/>
  <c r="W4" i="32"/>
  <c r="AA4" i="32"/>
  <c r="X4" i="32"/>
  <c r="Y4" i="32"/>
  <c r="Z4" i="32"/>
  <c r="S4" i="32"/>
  <c r="T4" i="32"/>
  <c r="U4" i="32"/>
  <c r="V4" i="32"/>
  <c r="Y7" i="32"/>
  <c r="V7" i="32"/>
  <c r="W7" i="32"/>
  <c r="Z7" i="32"/>
  <c r="AA7" i="32"/>
  <c r="S7" i="32"/>
  <c r="T7" i="32"/>
  <c r="U7" i="32"/>
  <c r="X7" i="32"/>
  <c r="R9" i="3"/>
  <c r="V9" i="3"/>
  <c r="X9" i="3"/>
  <c r="Y9" i="3"/>
  <c r="Z9" i="3"/>
  <c r="S9" i="3"/>
  <c r="T9" i="3"/>
  <c r="U9" i="3"/>
  <c r="W9" i="3"/>
  <c r="S12" i="5"/>
  <c r="R12" i="5"/>
  <c r="T12" i="5"/>
  <c r="U12" i="5"/>
  <c r="V12" i="5"/>
  <c r="X12" i="5"/>
  <c r="Y12" i="5"/>
  <c r="W12" i="5"/>
  <c r="Z12" i="5"/>
  <c r="W5" i="32"/>
  <c r="S5" i="32"/>
  <c r="T5" i="32"/>
  <c r="U5" i="32"/>
  <c r="V5" i="32"/>
  <c r="X5" i="32"/>
  <c r="Y5" i="32"/>
  <c r="AA5" i="32"/>
  <c r="Z5" i="32"/>
  <c r="T12" i="32"/>
  <c r="V12" i="32"/>
  <c r="W12" i="32"/>
  <c r="X12" i="32"/>
  <c r="Y12" i="32"/>
  <c r="Z12" i="32"/>
  <c r="AA12" i="32"/>
  <c r="S12" i="32"/>
  <c r="U12" i="32"/>
  <c r="Y6" i="5"/>
  <c r="Z6" i="5"/>
  <c r="R6" i="5"/>
  <c r="P18" i="5" s="1" a="1"/>
  <c r="T6" i="5"/>
  <c r="U6" i="5"/>
  <c r="V6" i="5"/>
  <c r="S6" i="5"/>
  <c r="W6" i="5"/>
  <c r="X6" i="5"/>
  <c r="T11" i="32"/>
  <c r="S11" i="32"/>
  <c r="U11" i="32"/>
  <c r="V11" i="32"/>
  <c r="Y11" i="32"/>
  <c r="Z11" i="32"/>
  <c r="W11" i="32"/>
  <c r="X11" i="32"/>
  <c r="AA11" i="32"/>
  <c r="U5" i="3"/>
  <c r="V5" i="3"/>
  <c r="Z5" i="3"/>
  <c r="R5" i="3"/>
  <c r="S5" i="3"/>
  <c r="P18" i="3" a="1"/>
  <c r="T5" i="3"/>
  <c r="W5" i="3"/>
  <c r="X5" i="3"/>
  <c r="Y5" i="3"/>
  <c r="AJ7" i="1" a="1"/>
  <c r="U2" i="32"/>
  <c r="W2" i="32"/>
  <c r="X2" i="32"/>
  <c r="Z2" i="32"/>
  <c r="AA2" i="32"/>
  <c r="Y2" i="32"/>
  <c r="T2" i="32"/>
  <c r="S2" i="32"/>
  <c r="Q15" i="32" s="1" a="1"/>
  <c r="V2" i="32"/>
  <c r="W7" i="5"/>
  <c r="X7" i="5"/>
  <c r="R7" i="5"/>
  <c r="S7" i="5"/>
  <c r="T7" i="5"/>
  <c r="U7" i="5"/>
  <c r="V7" i="5"/>
  <c r="Y7" i="5"/>
  <c r="Z7" i="5"/>
  <c r="U10" i="5"/>
  <c r="R10" i="5"/>
  <c r="S10" i="5"/>
  <c r="T10" i="5"/>
  <c r="W10" i="5"/>
  <c r="X10" i="5"/>
  <c r="V10" i="5"/>
  <c r="Y10" i="5"/>
  <c r="Z10" i="5"/>
  <c r="S11" i="5"/>
  <c r="T11" i="5"/>
  <c r="R11" i="5"/>
  <c r="Z11" i="5"/>
  <c r="U11" i="5"/>
  <c r="V11" i="5"/>
  <c r="W11" i="5"/>
  <c r="X11" i="5"/>
  <c r="Y11" i="5"/>
  <c r="AJ11" i="1" a="1"/>
  <c r="U9" i="5"/>
  <c r="V9" i="5"/>
  <c r="R9" i="5"/>
  <c r="S9" i="5"/>
  <c r="T9" i="5"/>
  <c r="W9" i="5"/>
  <c r="X9" i="5"/>
  <c r="Y9" i="5"/>
  <c r="Z9" i="5"/>
  <c r="S10" i="32"/>
  <c r="Y10" i="32"/>
  <c r="Z10" i="32"/>
  <c r="AA10" i="32"/>
  <c r="T10" i="32"/>
  <c r="U10" i="32"/>
  <c r="V10" i="32"/>
  <c r="W10" i="32"/>
  <c r="X10" i="32"/>
  <c r="AA9" i="32"/>
  <c r="Z9" i="32"/>
  <c r="V9" i="32"/>
  <c r="W9" i="32"/>
  <c r="X9" i="32"/>
  <c r="Y9" i="32"/>
  <c r="U9" i="32"/>
  <c r="T9" i="32"/>
  <c r="S9" i="32"/>
  <c r="Y6" i="32"/>
  <c r="T6" i="32"/>
  <c r="U6" i="32"/>
  <c r="V6" i="32"/>
  <c r="W6" i="32"/>
  <c r="X6" i="32"/>
  <c r="Z6" i="32"/>
  <c r="AA6" i="32"/>
  <c r="S6" i="32"/>
  <c r="G36" i="100"/>
  <c r="I37" i="100"/>
  <c r="G37" i="100"/>
  <c r="C20" i="112"/>
  <c r="G33" i="100"/>
  <c r="G38" i="100" s="1"/>
  <c r="S19" i="5" l="1"/>
  <c r="W22" i="5"/>
  <c r="S24" i="5"/>
  <c r="W27" i="5"/>
  <c r="T19" i="5"/>
  <c r="P21" i="5"/>
  <c r="X22" i="5"/>
  <c r="T24" i="5"/>
  <c r="P26" i="5"/>
  <c r="X27" i="5"/>
  <c r="W18" i="5"/>
  <c r="R20" i="5"/>
  <c r="Z21" i="5"/>
  <c r="V23" i="5"/>
  <c r="R25" i="5"/>
  <c r="Z26" i="5"/>
  <c r="V28" i="5"/>
  <c r="U18" i="5"/>
  <c r="T20" i="5"/>
  <c r="S22" i="5"/>
  <c r="R24" i="5"/>
  <c r="S26" i="5"/>
  <c r="R28" i="5"/>
  <c r="V18" i="5"/>
  <c r="U20" i="5"/>
  <c r="T22" i="5"/>
  <c r="U24" i="5"/>
  <c r="T26" i="5"/>
  <c r="S28" i="5"/>
  <c r="U19" i="5"/>
  <c r="T21" i="5"/>
  <c r="S23" i="5"/>
  <c r="S25" i="5"/>
  <c r="R27" i="5"/>
  <c r="V19" i="5"/>
  <c r="U21" i="5"/>
  <c r="T23" i="5"/>
  <c r="T25" i="5"/>
  <c r="S27" i="5"/>
  <c r="W19" i="5"/>
  <c r="V21" i="5"/>
  <c r="U23" i="5"/>
  <c r="U25" i="5"/>
  <c r="T27" i="5"/>
  <c r="P18" i="5"/>
  <c r="Z19" i="5"/>
  <c r="Y21" i="5"/>
  <c r="Y23" i="5"/>
  <c r="X25" i="5"/>
  <c r="Y27" i="5"/>
  <c r="Y18" i="5"/>
  <c r="S21" i="5"/>
  <c r="Q24" i="5"/>
  <c r="Z18" i="5"/>
  <c r="W21" i="5"/>
  <c r="V24" i="5"/>
  <c r="P27" i="5"/>
  <c r="U27" i="5"/>
  <c r="X21" i="5"/>
  <c r="W24" i="5"/>
  <c r="Q27" i="5"/>
  <c r="X24" i="5"/>
  <c r="Q20" i="5"/>
  <c r="Y25" i="5"/>
  <c r="W28" i="5"/>
  <c r="S20" i="5"/>
  <c r="P23" i="5"/>
  <c r="Z25" i="5"/>
  <c r="X28" i="5"/>
  <c r="V20" i="5"/>
  <c r="Q23" i="5"/>
  <c r="Q26" i="5"/>
  <c r="Y28" i="5"/>
  <c r="W20" i="5"/>
  <c r="R23" i="5"/>
  <c r="R26" i="5"/>
  <c r="Z28" i="5"/>
  <c r="Q18" i="5"/>
  <c r="X20" i="5"/>
  <c r="W23" i="5"/>
  <c r="U26" i="5"/>
  <c r="R18" i="5"/>
  <c r="Y20" i="5"/>
  <c r="X23" i="5"/>
  <c r="V26" i="5"/>
  <c r="S18" i="5"/>
  <c r="Z20" i="5"/>
  <c r="Z23" i="5"/>
  <c r="W26" i="5"/>
  <c r="P24" i="5"/>
  <c r="P25" i="5"/>
  <c r="Q25" i="5"/>
  <c r="V25" i="5"/>
  <c r="P20" i="5"/>
  <c r="T18" i="5"/>
  <c r="Y24" i="5"/>
  <c r="R19" i="5"/>
  <c r="Y19" i="5"/>
  <c r="X18" i="5"/>
  <c r="Z24" i="5"/>
  <c r="P19" i="5"/>
  <c r="Q19" i="5"/>
  <c r="X19" i="5"/>
  <c r="Y26" i="5"/>
  <c r="Q21" i="5"/>
  <c r="X26" i="5"/>
  <c r="R21" i="5"/>
  <c r="Z27" i="5"/>
  <c r="P22" i="5"/>
  <c r="Z22" i="5"/>
  <c r="Q22" i="5"/>
  <c r="P28" i="5"/>
  <c r="Y22" i="5"/>
  <c r="R22" i="5"/>
  <c r="Q28" i="5"/>
  <c r="W25" i="5"/>
  <c r="U22" i="5"/>
  <c r="T28" i="5"/>
  <c r="V27" i="5"/>
  <c r="V22" i="5"/>
  <c r="U28" i="5"/>
  <c r="AA24" i="32"/>
  <c r="R23" i="32"/>
  <c r="T21" i="32"/>
  <c r="V19" i="32"/>
  <c r="X17" i="32"/>
  <c r="Z15" i="32"/>
  <c r="Y25" i="32"/>
  <c r="AA23" i="32"/>
  <c r="R22" i="32"/>
  <c r="T20" i="32"/>
  <c r="V18" i="32"/>
  <c r="X16" i="32"/>
  <c r="W25" i="32"/>
  <c r="W23" i="32"/>
  <c r="W21" i="32"/>
  <c r="W19" i="32"/>
  <c r="V17" i="32"/>
  <c r="V15" i="32"/>
  <c r="V25" i="32"/>
  <c r="V23" i="32"/>
  <c r="V21" i="32"/>
  <c r="U19" i="32"/>
  <c r="U17" i="32"/>
  <c r="U15" i="32"/>
  <c r="W24" i="32"/>
  <c r="W22" i="32"/>
  <c r="W20" i="32"/>
  <c r="W18" i="32"/>
  <c r="V16" i="32"/>
  <c r="V24" i="32"/>
  <c r="V22" i="32"/>
  <c r="V20" i="32"/>
  <c r="U18" i="32"/>
  <c r="U16" i="32"/>
  <c r="T25" i="32"/>
  <c r="Z22" i="32"/>
  <c r="S20" i="32"/>
  <c r="Z17" i="32"/>
  <c r="S15" i="32"/>
  <c r="U22" i="32"/>
  <c r="AA19" i="32"/>
  <c r="T17" i="32"/>
  <c r="S25" i="32"/>
  <c r="Y22" i="32"/>
  <c r="R20" i="32"/>
  <c r="Y17" i="32"/>
  <c r="R15" i="32"/>
  <c r="R25" i="32"/>
  <c r="X22" i="32"/>
  <c r="Q20" i="32"/>
  <c r="W17" i="32"/>
  <c r="Q15" i="32"/>
  <c r="Q25" i="32"/>
  <c r="Q24" i="32"/>
  <c r="U21" i="32"/>
  <c r="AA18" i="32"/>
  <c r="T16" i="32"/>
  <c r="Z23" i="32"/>
  <c r="S21" i="32"/>
  <c r="Z18" i="32"/>
  <c r="S16" i="32"/>
  <c r="Y23" i="32"/>
  <c r="R21" i="32"/>
  <c r="Y18" i="32"/>
  <c r="R16" i="32"/>
  <c r="X23" i="32"/>
  <c r="Q21" i="32"/>
  <c r="X18" i="32"/>
  <c r="Q16" i="32"/>
  <c r="U23" i="32"/>
  <c r="AA20" i="32"/>
  <c r="T18" i="32"/>
  <c r="AA15" i="32"/>
  <c r="AA25" i="32"/>
  <c r="T23" i="32"/>
  <c r="Z20" i="32"/>
  <c r="S18" i="32"/>
  <c r="Y15" i="32"/>
  <c r="Z25" i="32"/>
  <c r="S23" i="32"/>
  <c r="Y20" i="32"/>
  <c r="R18" i="32"/>
  <c r="X15" i="32"/>
  <c r="AA22" i="32"/>
  <c r="R17" i="32"/>
  <c r="AA21" i="32"/>
  <c r="W16" i="32"/>
  <c r="Y21" i="32"/>
  <c r="T22" i="32"/>
  <c r="Q17" i="32"/>
  <c r="Y16" i="32"/>
  <c r="X21" i="32"/>
  <c r="X20" i="32"/>
  <c r="S22" i="32"/>
  <c r="AA16" i="32"/>
  <c r="Q22" i="32"/>
  <c r="Z16" i="32"/>
  <c r="Z21" i="32"/>
  <c r="W15" i="32"/>
  <c r="Z19" i="32"/>
  <c r="U25" i="32"/>
  <c r="Y19" i="32"/>
  <c r="AA17" i="32"/>
  <c r="T15" i="32"/>
  <c r="Z24" i="32"/>
  <c r="X19" i="32"/>
  <c r="R24" i="32"/>
  <c r="Y24" i="32"/>
  <c r="T19" i="32"/>
  <c r="Q23" i="32"/>
  <c r="X24" i="32"/>
  <c r="S19" i="32"/>
  <c r="Q18" i="32"/>
  <c r="U24" i="32"/>
  <c r="R19" i="32"/>
  <c r="S17" i="32"/>
  <c r="U20" i="32"/>
  <c r="X25" i="32"/>
  <c r="T24" i="32"/>
  <c r="Q19" i="32"/>
  <c r="S24" i="32"/>
  <c r="J32" i="100"/>
  <c r="J28" i="100"/>
  <c r="J29" i="100"/>
  <c r="J30" i="100"/>
  <c r="J34" i="100"/>
  <c r="J33" i="100"/>
  <c r="I28" i="100"/>
  <c r="I32" i="100"/>
  <c r="I33" i="100"/>
  <c r="I29" i="100"/>
  <c r="I30" i="100"/>
  <c r="I34" i="100"/>
  <c r="AJ8" i="1"/>
  <c r="AJ7" i="1"/>
  <c r="AJ9" i="1"/>
  <c r="AJ11" i="1"/>
  <c r="AJ13" i="1"/>
  <c r="AJ12" i="1"/>
  <c r="Q18" i="3"/>
  <c r="X19" i="3"/>
  <c r="T21" i="3"/>
  <c r="P23" i="3"/>
  <c r="X24" i="3"/>
  <c r="T26" i="3"/>
  <c r="P28" i="3"/>
  <c r="R18" i="3"/>
  <c r="Y19" i="3"/>
  <c r="U21" i="3"/>
  <c r="Q23" i="3"/>
  <c r="Y24" i="3"/>
  <c r="U26" i="3"/>
  <c r="Q28" i="3"/>
  <c r="W20" i="3"/>
  <c r="S22" i="3"/>
  <c r="W25" i="3"/>
  <c r="S27" i="3"/>
  <c r="S19" i="3"/>
  <c r="W22" i="3"/>
  <c r="S24" i="3"/>
  <c r="W18" i="3"/>
  <c r="V20" i="3"/>
  <c r="X22" i="3"/>
  <c r="Z24" i="3"/>
  <c r="Y26" i="3"/>
  <c r="X28" i="3"/>
  <c r="X18" i="3"/>
  <c r="X20" i="3"/>
  <c r="Y22" i="3"/>
  <c r="Z26" i="3"/>
  <c r="Y28" i="3"/>
  <c r="V19" i="3"/>
  <c r="X21" i="3"/>
  <c r="X23" i="3"/>
  <c r="Y25" i="3"/>
  <c r="X27" i="3"/>
  <c r="W19" i="3"/>
  <c r="Y21" i="3"/>
  <c r="Y23" i="3"/>
  <c r="Z25" i="3"/>
  <c r="Y27" i="3"/>
  <c r="Z19" i="3"/>
  <c r="Z21" i="3"/>
  <c r="Z23" i="3"/>
  <c r="Z27" i="3"/>
  <c r="P24" i="3"/>
  <c r="P26" i="3"/>
  <c r="P18" i="3"/>
  <c r="Q20" i="3"/>
  <c r="Q22" i="3"/>
  <c r="R24" i="3"/>
  <c r="R26" i="3"/>
  <c r="S28" i="3"/>
  <c r="S18" i="3"/>
  <c r="R20" i="3"/>
  <c r="R22" i="3"/>
  <c r="T24" i="3"/>
  <c r="S26" i="3"/>
  <c r="T28" i="3"/>
  <c r="T18" i="3"/>
  <c r="S20" i="3"/>
  <c r="T22" i="3"/>
  <c r="U24" i="3"/>
  <c r="V26" i="3"/>
  <c r="U28" i="3"/>
  <c r="R21" i="3"/>
  <c r="R25" i="3"/>
  <c r="Z28" i="3"/>
  <c r="W21" i="3"/>
  <c r="S21" i="3"/>
  <c r="S25" i="3"/>
  <c r="U25" i="3"/>
  <c r="V21" i="3"/>
  <c r="T25" i="3"/>
  <c r="U18" i="3"/>
  <c r="T19" i="3"/>
  <c r="T23" i="3"/>
  <c r="Q27" i="3"/>
  <c r="U19" i="3"/>
  <c r="U23" i="3"/>
  <c r="R27" i="3"/>
  <c r="P20" i="3"/>
  <c r="V23" i="3"/>
  <c r="T27" i="3"/>
  <c r="T20" i="3"/>
  <c r="W23" i="3"/>
  <c r="U27" i="3"/>
  <c r="U20" i="3"/>
  <c r="Q24" i="3"/>
  <c r="V27" i="3"/>
  <c r="Y20" i="3"/>
  <c r="V24" i="3"/>
  <c r="W27" i="3"/>
  <c r="Z20" i="3"/>
  <c r="W24" i="3"/>
  <c r="R28" i="3"/>
  <c r="R19" i="3"/>
  <c r="W28" i="3"/>
  <c r="P21" i="3"/>
  <c r="P22" i="3"/>
  <c r="V22" i="3"/>
  <c r="Q21" i="3"/>
  <c r="U22" i="3"/>
  <c r="Z22" i="3"/>
  <c r="R23" i="3"/>
  <c r="Q25" i="3"/>
  <c r="V25" i="3"/>
  <c r="V28" i="3"/>
  <c r="X25" i="3"/>
  <c r="V18" i="3"/>
  <c r="Q26" i="3"/>
  <c r="Y18" i="3"/>
  <c r="W26" i="3"/>
  <c r="Q19" i="3"/>
  <c r="Z18" i="3"/>
  <c r="X26" i="3"/>
  <c r="P19" i="3"/>
  <c r="S23" i="3"/>
  <c r="P25" i="3"/>
  <c r="P27" i="3"/>
  <c r="C26" i="112"/>
  <c r="F15" i="112" s="1"/>
  <c r="F18" i="112"/>
  <c r="U8" i="99"/>
  <c r="B19" i="111"/>
  <c r="AC5" i="1" l="1"/>
  <c r="AB5" i="1"/>
  <c r="AG5" i="1"/>
  <c r="AH5" i="1"/>
  <c r="AF5" i="1"/>
  <c r="AJ5" i="1"/>
  <c r="AD5" i="1"/>
  <c r="AI5" i="1"/>
  <c r="Z5" i="1"/>
  <c r="AA5" i="1"/>
  <c r="AE5" i="1"/>
  <c r="AG4" i="1"/>
  <c r="AI4" i="1"/>
  <c r="AC4" i="1"/>
  <c r="AA4" i="1"/>
  <c r="AE4" i="1"/>
  <c r="Z4" i="1"/>
  <c r="AB4" i="1"/>
  <c r="AF4" i="1"/>
  <c r="AJ4" i="1"/>
  <c r="AD4" i="1"/>
  <c r="AH4" i="1"/>
  <c r="AC18" i="5" a="1"/>
  <c r="AC18" i="3" a="1"/>
  <c r="C24" i="1" l="1"/>
  <c r="C32" i="1"/>
  <c r="C36" i="1"/>
  <c r="C28" i="1"/>
  <c r="AC18" i="3"/>
  <c r="AC23" i="3"/>
  <c r="AC28" i="3"/>
  <c r="AC20" i="3"/>
  <c r="AC24" i="3"/>
  <c r="AC25" i="3"/>
  <c r="AC19" i="3"/>
  <c r="AC21" i="3"/>
  <c r="AC27" i="3"/>
  <c r="AC22" i="3"/>
  <c r="AC26" i="3"/>
  <c r="D26" i="1"/>
  <c r="D30" i="1"/>
  <c r="D34" i="1"/>
  <c r="D38" i="1"/>
  <c r="D24" i="1"/>
  <c r="D36" i="1"/>
  <c r="D32" i="1"/>
  <c r="D28" i="1"/>
  <c r="C34" i="1"/>
  <c r="C30" i="1"/>
  <c r="C26" i="1"/>
  <c r="C38" i="1"/>
  <c r="I36" i="1"/>
  <c r="I24" i="1"/>
  <c r="I28" i="1"/>
  <c r="I32" i="1"/>
  <c r="M36" i="1"/>
  <c r="M24" i="1"/>
  <c r="M28" i="1"/>
  <c r="M32" i="1"/>
  <c r="E28" i="1"/>
  <c r="E32" i="1"/>
  <c r="E36" i="1"/>
  <c r="E24" i="1"/>
  <c r="H24" i="1"/>
  <c r="H36" i="1"/>
  <c r="H32" i="1"/>
  <c r="H28" i="1"/>
  <c r="F24" i="1"/>
  <c r="F28" i="1"/>
  <c r="F36" i="1"/>
  <c r="F32" i="1"/>
  <c r="L24" i="1"/>
  <c r="L28" i="1"/>
  <c r="L32" i="1"/>
  <c r="L36" i="1"/>
  <c r="J36" i="1"/>
  <c r="J28" i="1"/>
  <c r="J32" i="1"/>
  <c r="J24" i="1"/>
  <c r="L38" i="1"/>
  <c r="L34" i="1"/>
  <c r="L30" i="1"/>
  <c r="L26" i="1"/>
  <c r="G34" i="1"/>
  <c r="G38" i="1"/>
  <c r="G26" i="1"/>
  <c r="G30" i="1"/>
  <c r="I38" i="1"/>
  <c r="I26" i="1"/>
  <c r="I30" i="1"/>
  <c r="I34" i="1"/>
  <c r="K30" i="1"/>
  <c r="K34" i="1"/>
  <c r="K26" i="1"/>
  <c r="K38" i="1"/>
  <c r="E38" i="1"/>
  <c r="E34" i="1"/>
  <c r="E26" i="1"/>
  <c r="E30" i="1"/>
  <c r="AC20" i="5"/>
  <c r="AC25" i="5"/>
  <c r="AC26" i="5"/>
  <c r="AC21" i="5"/>
  <c r="AC18" i="5"/>
  <c r="C9" i="5" s="1" a="1"/>
  <c r="AC22" i="5"/>
  <c r="AC28" i="5"/>
  <c r="AC24" i="5"/>
  <c r="AC19" i="5"/>
  <c r="AC23" i="5"/>
  <c r="AC27" i="5"/>
  <c r="H30" i="1"/>
  <c r="H26" i="1"/>
  <c r="H38" i="1"/>
  <c r="H34" i="1"/>
  <c r="M30" i="1"/>
  <c r="M34" i="1"/>
  <c r="M26" i="1"/>
  <c r="M38" i="1"/>
  <c r="J34" i="1"/>
  <c r="J30" i="1"/>
  <c r="J26" i="1"/>
  <c r="J38" i="1"/>
  <c r="K28" i="1"/>
  <c r="K24" i="1"/>
  <c r="K32" i="1"/>
  <c r="K36" i="1"/>
  <c r="G28" i="1"/>
  <c r="G24" i="1"/>
  <c r="G32" i="1"/>
  <c r="G36" i="1"/>
  <c r="F34" i="1"/>
  <c r="F26" i="1"/>
  <c r="F30" i="1"/>
  <c r="F38" i="1"/>
  <c r="C9" i="5" l="1"/>
  <c r="L9" i="5"/>
  <c r="L4" i="32" s="1"/>
  <c r="H9" i="5"/>
  <c r="H4" i="32" s="1"/>
  <c r="G9" i="5"/>
  <c r="G4" i="32" s="1"/>
  <c r="K9" i="5"/>
  <c r="K4" i="32" s="1"/>
  <c r="J9" i="5"/>
  <c r="J4" i="32" s="1"/>
  <c r="I9" i="5"/>
  <c r="I4" i="32" s="1"/>
  <c r="F9" i="5"/>
  <c r="F4" i="32" s="1"/>
  <c r="E9" i="5"/>
  <c r="E4" i="32" s="1"/>
  <c r="D9" i="5"/>
  <c r="D4" i="32" s="1"/>
  <c r="M9" i="5"/>
  <c r="M4" i="32" s="1"/>
  <c r="C9" i="3" a="1"/>
  <c r="J9" i="3" l="1"/>
  <c r="J18" i="32" s="1"/>
  <c r="H9" i="3"/>
  <c r="H18" i="32" s="1"/>
  <c r="G9" i="3"/>
  <c r="G18" i="32" s="1"/>
  <c r="E9" i="3"/>
  <c r="E18" i="32" s="1"/>
  <c r="D9" i="3"/>
  <c r="D18" i="32" s="1"/>
  <c r="C9" i="3"/>
  <c r="M9" i="3"/>
  <c r="M18" i="32" s="1"/>
  <c r="L9" i="3"/>
  <c r="L18" i="32" s="1"/>
  <c r="K9" i="3"/>
  <c r="K18" i="32" s="1"/>
  <c r="I9" i="3"/>
  <c r="I18" i="32" s="1"/>
  <c r="F9" i="3"/>
  <c r="F18" i="32" s="1"/>
  <c r="D15" i="5"/>
  <c r="E15" i="5"/>
  <c r="C15" i="5"/>
  <c r="C4" i="32"/>
  <c r="M15" i="5"/>
  <c r="J15" i="5"/>
  <c r="B13" i="111"/>
  <c r="I15" i="5"/>
  <c r="F15" i="5"/>
  <c r="H15" i="5"/>
  <c r="G15" i="5"/>
  <c r="D14" i="111"/>
  <c r="K15" i="5"/>
  <c r="B14" i="111"/>
  <c r="D13" i="111"/>
  <c r="L15" i="5"/>
  <c r="I39" i="1" l="1"/>
  <c r="I27" i="1"/>
  <c r="I31" i="1"/>
  <c r="I23" i="1"/>
  <c r="P4" i="2" s="1"/>
  <c r="I35" i="1"/>
  <c r="J39" i="1"/>
  <c r="J23" i="1"/>
  <c r="Q4" i="2" s="1"/>
  <c r="J27" i="1"/>
  <c r="J35" i="1"/>
  <c r="J31" i="1"/>
  <c r="C27" i="1"/>
  <c r="C39" i="1"/>
  <c r="C23" i="1"/>
  <c r="J4" i="2" s="1"/>
  <c r="C31" i="1"/>
  <c r="C35" i="1"/>
  <c r="F39" i="1"/>
  <c r="F23" i="1"/>
  <c r="M4" i="2" s="1"/>
  <c r="F35" i="1"/>
  <c r="F27" i="1"/>
  <c r="F31" i="1"/>
  <c r="M27" i="1"/>
  <c r="M31" i="1"/>
  <c r="M23" i="1"/>
  <c r="T4" i="2" s="1"/>
  <c r="M35" i="1"/>
  <c r="M39" i="1"/>
  <c r="D35" i="1"/>
  <c r="D39" i="1"/>
  <c r="D27" i="1"/>
  <c r="D31" i="1"/>
  <c r="D23" i="1"/>
  <c r="K4" i="2" s="1"/>
  <c r="L39" i="1"/>
  <c r="L31" i="1"/>
  <c r="L23" i="1"/>
  <c r="S4" i="2" s="1"/>
  <c r="L35" i="1"/>
  <c r="L27" i="1"/>
  <c r="D19" i="3"/>
  <c r="F15" i="3"/>
  <c r="I19" i="3"/>
  <c r="I15" i="3"/>
  <c r="H19" i="3"/>
  <c r="H15" i="3"/>
  <c r="C19" i="3"/>
  <c r="C15" i="3"/>
  <c r="K19" i="3"/>
  <c r="J19" i="3"/>
  <c r="F19" i="3"/>
  <c r="G19" i="3"/>
  <c r="C18" i="32"/>
  <c r="M15" i="3"/>
  <c r="L15" i="3"/>
  <c r="K15" i="3"/>
  <c r="J15" i="3"/>
  <c r="G15" i="3"/>
  <c r="E15" i="3"/>
  <c r="D15" i="3"/>
  <c r="E19" i="3"/>
  <c r="M19" i="3"/>
  <c r="L19" i="3"/>
  <c r="K35" i="1"/>
  <c r="K39" i="1"/>
  <c r="K23" i="1"/>
  <c r="R4" i="2" s="1"/>
  <c r="K27" i="1"/>
  <c r="K31" i="1"/>
  <c r="G23" i="1"/>
  <c r="N4" i="2" s="1"/>
  <c r="G31" i="1"/>
  <c r="G35" i="1"/>
  <c r="G39" i="1"/>
  <c r="G27" i="1"/>
  <c r="E23" i="1"/>
  <c r="L4" i="2" s="1"/>
  <c r="E39" i="1"/>
  <c r="E27" i="1"/>
  <c r="E31" i="1"/>
  <c r="E35" i="1"/>
  <c r="H23" i="1"/>
  <c r="O4" i="2" s="1"/>
  <c r="H27" i="1"/>
  <c r="H31" i="1"/>
  <c r="H39" i="1"/>
  <c r="H35" i="1"/>
  <c r="H40" i="1" l="1"/>
  <c r="O18" i="2" s="1"/>
  <c r="H25" i="1"/>
  <c r="H37" i="1"/>
  <c r="H29" i="1"/>
  <c r="H33" i="1"/>
  <c r="H35" i="32"/>
  <c r="O13" i="2"/>
  <c r="H32" i="32"/>
  <c r="O10" i="2"/>
  <c r="M13" i="2"/>
  <c r="F35" i="32"/>
  <c r="R13" i="2"/>
  <c r="K35" i="32"/>
  <c r="F39" i="32"/>
  <c r="M16" i="2"/>
  <c r="N49" i="2" s="1"/>
  <c r="D40" i="1"/>
  <c r="K18" i="2" s="1"/>
  <c r="D33" i="1"/>
  <c r="D29" i="1"/>
  <c r="D37" i="1"/>
  <c r="D25" i="1"/>
  <c r="S13" i="2"/>
  <c r="L35" i="32"/>
  <c r="L7" i="2"/>
  <c r="E28" i="32"/>
  <c r="E40" i="1"/>
  <c r="L18" i="2" s="1"/>
  <c r="E33" i="1"/>
  <c r="E25" i="1"/>
  <c r="E29" i="1"/>
  <c r="E37" i="1"/>
  <c r="S10" i="2"/>
  <c r="L32" i="32"/>
  <c r="J32" i="32"/>
  <c r="Q10" i="2"/>
  <c r="K49" i="2"/>
  <c r="K51" i="2"/>
  <c r="K42" i="2"/>
  <c r="K50" i="2"/>
  <c r="K41" i="2"/>
  <c r="K48" i="2"/>
  <c r="J7" i="2"/>
  <c r="K43" i="2" s="1"/>
  <c r="C28" i="32"/>
  <c r="I40" i="1"/>
  <c r="P18" i="2" s="1"/>
  <c r="I33" i="1"/>
  <c r="I29" i="1"/>
  <c r="I37" i="1"/>
  <c r="I25" i="1"/>
  <c r="N47" i="2"/>
  <c r="N51" i="2"/>
  <c r="N46" i="2"/>
  <c r="N48" i="2"/>
  <c r="N50" i="2"/>
  <c r="N41" i="2"/>
  <c r="C32" i="32"/>
  <c r="J10" i="2"/>
  <c r="F40" i="1"/>
  <c r="M18" i="2" s="1"/>
  <c r="F25" i="1"/>
  <c r="F37" i="1"/>
  <c r="F29" i="1"/>
  <c r="F33" i="1"/>
  <c r="K39" i="32"/>
  <c r="R16" i="2"/>
  <c r="F28" i="32"/>
  <c r="M7" i="2"/>
  <c r="N43" i="2" s="1"/>
  <c r="O7" i="2"/>
  <c r="P50" i="2" s="1"/>
  <c r="H28" i="32"/>
  <c r="S7" i="2"/>
  <c r="T48" i="2" s="1"/>
  <c r="L28" i="32"/>
  <c r="P48" i="2"/>
  <c r="P42" i="2"/>
  <c r="P46" i="2"/>
  <c r="M50" i="2"/>
  <c r="M42" i="2"/>
  <c r="M41" i="2"/>
  <c r="M47" i="2"/>
  <c r="M43" i="2"/>
  <c r="M44" i="2"/>
  <c r="G40" i="1"/>
  <c r="N18" i="2" s="1"/>
  <c r="G29" i="1"/>
  <c r="G33" i="1"/>
  <c r="G25" i="1"/>
  <c r="G37" i="1"/>
  <c r="G35" i="32"/>
  <c r="N13" i="2"/>
  <c r="D35" i="32"/>
  <c r="K13" i="2"/>
  <c r="N10" i="2"/>
  <c r="O47" i="2" s="1"/>
  <c r="G32" i="32"/>
  <c r="T16" i="2"/>
  <c r="M39" i="32"/>
  <c r="U41" i="2"/>
  <c r="U42" i="2"/>
  <c r="U47" i="2"/>
  <c r="U51" i="2"/>
  <c r="U48" i="2"/>
  <c r="U46" i="2"/>
  <c r="P10" i="2"/>
  <c r="I32" i="32"/>
  <c r="F32" i="32"/>
  <c r="M10" i="2"/>
  <c r="M40" i="1"/>
  <c r="T18" i="2" s="1"/>
  <c r="M33" i="1"/>
  <c r="M29" i="1"/>
  <c r="M37" i="1"/>
  <c r="M25" i="1"/>
  <c r="C35" i="32"/>
  <c r="J13" i="2"/>
  <c r="K45" i="2" s="1"/>
  <c r="T49" i="2"/>
  <c r="T45" i="2"/>
  <c r="T42" i="2"/>
  <c r="T51" i="2"/>
  <c r="T50" i="2"/>
  <c r="J35" i="32"/>
  <c r="Q13" i="2"/>
  <c r="K7" i="2"/>
  <c r="L48" i="2" s="1"/>
  <c r="D28" i="32"/>
  <c r="R41" i="2"/>
  <c r="R48" i="2"/>
  <c r="R42" i="2"/>
  <c r="R46" i="2"/>
  <c r="R45" i="2"/>
  <c r="R47" i="2"/>
  <c r="R51" i="2"/>
  <c r="R49" i="2"/>
  <c r="R44" i="2"/>
  <c r="R43" i="2"/>
  <c r="Q16" i="2"/>
  <c r="J39" i="32"/>
  <c r="K40" i="1"/>
  <c r="R18" i="2" s="1"/>
  <c r="K29" i="1"/>
  <c r="K25" i="1"/>
  <c r="K37" i="1"/>
  <c r="K33" i="1"/>
  <c r="C40" i="1"/>
  <c r="J18" i="2" s="1"/>
  <c r="C33" i="1"/>
  <c r="C37" i="1"/>
  <c r="C25" i="1"/>
  <c r="C29" i="1"/>
  <c r="T10" i="2"/>
  <c r="U43" i="2" s="1"/>
  <c r="M32" i="32"/>
  <c r="P7" i="2"/>
  <c r="Q47" i="2" s="1"/>
  <c r="I28" i="32"/>
  <c r="L40" i="1"/>
  <c r="S18" i="2" s="1"/>
  <c r="L37" i="1"/>
  <c r="L29" i="1"/>
  <c r="L33" i="1"/>
  <c r="L25" i="1"/>
  <c r="O16" i="2"/>
  <c r="H39" i="32"/>
  <c r="E35" i="32"/>
  <c r="L13" i="2"/>
  <c r="E32" i="32"/>
  <c r="L10" i="2"/>
  <c r="C39" i="32"/>
  <c r="J16" i="2"/>
  <c r="S16" i="2"/>
  <c r="L39" i="32"/>
  <c r="E39" i="32"/>
  <c r="L16" i="2"/>
  <c r="M51" i="2" s="1"/>
  <c r="L45" i="2"/>
  <c r="L49" i="2"/>
  <c r="L51" i="2"/>
  <c r="L41" i="2"/>
  <c r="L42" i="2"/>
  <c r="L46" i="2"/>
  <c r="L50" i="2"/>
  <c r="D32" i="32"/>
  <c r="K10" i="2"/>
  <c r="G28" i="32"/>
  <c r="N7" i="2"/>
  <c r="O42" i="2" s="1"/>
  <c r="J28" i="32"/>
  <c r="Q7" i="2"/>
  <c r="R50" i="2" s="1"/>
  <c r="G39" i="32"/>
  <c r="N16" i="2"/>
  <c r="O41" i="2" s="1"/>
  <c r="D39" i="32"/>
  <c r="K16" i="2"/>
  <c r="J40" i="1"/>
  <c r="Q18" i="2" s="1"/>
  <c r="J37" i="1"/>
  <c r="J25" i="1"/>
  <c r="J29" i="1"/>
  <c r="J33" i="1"/>
  <c r="I35" i="32"/>
  <c r="P13" i="2"/>
  <c r="O44" i="2"/>
  <c r="M35" i="32"/>
  <c r="T13" i="2"/>
  <c r="U45" i="2" s="1"/>
  <c r="Q41" i="2"/>
  <c r="Q48" i="2"/>
  <c r="Q42" i="2"/>
  <c r="Q46" i="2"/>
  <c r="Q50" i="2"/>
  <c r="Q45" i="2"/>
  <c r="K32" i="32"/>
  <c r="R10" i="2"/>
  <c r="R7" i="2"/>
  <c r="K28" i="32"/>
  <c r="S42" i="2"/>
  <c r="S46" i="2"/>
  <c r="S48" i="2"/>
  <c r="S50" i="2"/>
  <c r="S45" i="2"/>
  <c r="S49" i="2"/>
  <c r="S51" i="2"/>
  <c r="S41" i="2"/>
  <c r="S47" i="2"/>
  <c r="S44" i="2"/>
  <c r="S43" i="2"/>
  <c r="T7" i="2"/>
  <c r="U50" i="2" s="1"/>
  <c r="M28" i="32"/>
  <c r="P16" i="2"/>
  <c r="I39" i="32"/>
  <c r="D38" i="32" l="1"/>
  <c r="K15" i="2"/>
  <c r="K6" i="2"/>
  <c r="D27" i="32"/>
  <c r="D31" i="32"/>
  <c r="K9" i="2"/>
  <c r="D34" i="32"/>
  <c r="K12" i="2"/>
  <c r="L34" i="32"/>
  <c r="S12" i="2"/>
  <c r="J27" i="32"/>
  <c r="Q6" i="2"/>
  <c r="U49" i="2"/>
  <c r="M48" i="2"/>
  <c r="N45" i="2"/>
  <c r="J34" i="32"/>
  <c r="Q12" i="2"/>
  <c r="M46" i="2"/>
  <c r="N42" i="2"/>
  <c r="O51" i="2"/>
  <c r="M49" i="2"/>
  <c r="P6" i="2"/>
  <c r="I27" i="32"/>
  <c r="AE29" i="32" a="1"/>
  <c r="F31" i="32"/>
  <c r="M9" i="2"/>
  <c r="P12" i="2"/>
  <c r="I34" i="32"/>
  <c r="E31" i="32"/>
  <c r="L9" i="2"/>
  <c r="T12" i="2"/>
  <c r="M34" i="32"/>
  <c r="Q9" i="2"/>
  <c r="J31" i="32"/>
  <c r="P43" i="2"/>
  <c r="L12" i="2"/>
  <c r="E34" i="32"/>
  <c r="M31" i="32"/>
  <c r="T9" i="2"/>
  <c r="P9" i="2"/>
  <c r="I31" i="32"/>
  <c r="H34" i="32"/>
  <c r="O12" i="2"/>
  <c r="M45" i="2"/>
  <c r="F34" i="32"/>
  <c r="M12" i="2"/>
  <c r="P44" i="2"/>
  <c r="Q44" i="2"/>
  <c r="N15" i="2"/>
  <c r="G38" i="32"/>
  <c r="H31" i="32"/>
  <c r="O9" i="2"/>
  <c r="L31" i="32"/>
  <c r="S9" i="2"/>
  <c r="O43" i="2"/>
  <c r="P15" i="2"/>
  <c r="I38" i="32"/>
  <c r="J12" i="2"/>
  <c r="C34" i="32"/>
  <c r="K34" i="32"/>
  <c r="R12" i="2"/>
  <c r="L6" i="2"/>
  <c r="E27" i="32"/>
  <c r="O49" i="2"/>
  <c r="R15" i="2"/>
  <c r="K38" i="32"/>
  <c r="P51" i="2"/>
  <c r="O50" i="2"/>
  <c r="O48" i="2"/>
  <c r="R9" i="2"/>
  <c r="K31" i="32"/>
  <c r="P41" i="2"/>
  <c r="Q49" i="2"/>
  <c r="T43" i="2"/>
  <c r="N6" i="2"/>
  <c r="G27" i="32"/>
  <c r="W29" i="32" a="1"/>
  <c r="K44" i="2"/>
  <c r="O15" i="2"/>
  <c r="H38" i="32"/>
  <c r="S15" i="2"/>
  <c r="L38" i="32"/>
  <c r="J38" i="32"/>
  <c r="Q15" i="2"/>
  <c r="T41" i="2"/>
  <c r="M27" i="32"/>
  <c r="T6" i="2"/>
  <c r="J6" i="2"/>
  <c r="C27" i="32"/>
  <c r="E38" i="32"/>
  <c r="L15" i="2"/>
  <c r="O45" i="2"/>
  <c r="F38" i="32"/>
  <c r="M15" i="2"/>
  <c r="F27" i="32"/>
  <c r="M6" i="2"/>
  <c r="T47" i="2"/>
  <c r="Q43" i="2"/>
  <c r="L47" i="2"/>
  <c r="L44" i="2"/>
  <c r="T46" i="2"/>
  <c r="U44" i="2"/>
  <c r="N12" i="2"/>
  <c r="G34" i="32"/>
  <c r="P49" i="2"/>
  <c r="N44" i="2"/>
  <c r="K46" i="2"/>
  <c r="H27" i="32"/>
  <c r="O6" i="2"/>
  <c r="AA29" i="32" a="1"/>
  <c r="C31" i="32"/>
  <c r="J9" i="2"/>
  <c r="T15" i="2"/>
  <c r="M38" i="32"/>
  <c r="J15" i="2"/>
  <c r="C38" i="32"/>
  <c r="S29" i="32" a="1"/>
  <c r="R6" i="2"/>
  <c r="K27" i="32"/>
  <c r="P47" i="2"/>
  <c r="L43" i="2"/>
  <c r="T44" i="2"/>
  <c r="K47" i="2"/>
  <c r="O46" i="2"/>
  <c r="P45" i="2"/>
  <c r="Q51" i="2"/>
  <c r="S6" i="2"/>
  <c r="L27" i="32"/>
  <c r="N9" i="2"/>
  <c r="G31" i="32"/>
  <c r="S37" i="2" l="1"/>
  <c r="S33" i="2"/>
  <c r="S28" i="2"/>
  <c r="S38" i="2"/>
  <c r="S32" i="2"/>
  <c r="S35" i="2"/>
  <c r="S34" i="2"/>
  <c r="S29" i="2"/>
  <c r="S36" i="2"/>
  <c r="S31" i="2"/>
  <c r="S30" i="2"/>
  <c r="W39" i="32"/>
  <c r="W31" i="32"/>
  <c r="W30" i="32"/>
  <c r="W29" i="32"/>
  <c r="W34" i="32"/>
  <c r="W33" i="32"/>
  <c r="W32" i="32"/>
  <c r="W37" i="32"/>
  <c r="W36" i="32"/>
  <c r="W38" i="32"/>
  <c r="W35" i="32"/>
  <c r="O38" i="2"/>
  <c r="O36" i="2"/>
  <c r="O37" i="2"/>
  <c r="O35" i="2"/>
  <c r="O34" i="2"/>
  <c r="O33" i="2"/>
  <c r="O32" i="2"/>
  <c r="O29" i="2"/>
  <c r="O30" i="2"/>
  <c r="O31" i="2"/>
  <c r="O28" i="2"/>
  <c r="AC29" i="32" a="1"/>
  <c r="R28" i="2"/>
  <c r="R32" i="2"/>
  <c r="R34" i="2"/>
  <c r="R30" i="2"/>
  <c r="R33" i="2"/>
  <c r="R29" i="2"/>
  <c r="R37" i="2"/>
  <c r="R31" i="2"/>
  <c r="R36" i="2"/>
  <c r="R35" i="2"/>
  <c r="R38" i="2"/>
  <c r="N36" i="2"/>
  <c r="N28" i="2"/>
  <c r="N37" i="2"/>
  <c r="N35" i="2"/>
  <c r="N33" i="2"/>
  <c r="N29" i="2"/>
  <c r="N34" i="2"/>
  <c r="N38" i="2"/>
  <c r="N32" i="2"/>
  <c r="N30" i="2"/>
  <c r="N31" i="2"/>
  <c r="Q29" i="32" a="1"/>
  <c r="L36" i="2"/>
  <c r="L29" i="2"/>
  <c r="L34" i="2"/>
  <c r="L35" i="2"/>
  <c r="L33" i="2"/>
  <c r="L38" i="2"/>
  <c r="L32" i="2"/>
  <c r="L37" i="2"/>
  <c r="L31" i="2"/>
  <c r="L28" i="2"/>
  <c r="L30" i="2"/>
  <c r="Y29" i="32" a="1"/>
  <c r="U29" i="32" a="1"/>
  <c r="P28" i="2"/>
  <c r="P37" i="2"/>
  <c r="P35" i="2"/>
  <c r="P29" i="2"/>
  <c r="P34" i="2"/>
  <c r="P36" i="2"/>
  <c r="P32" i="2"/>
  <c r="P33" i="2"/>
  <c r="P38" i="2"/>
  <c r="P31" i="2"/>
  <c r="P30" i="2"/>
  <c r="T38" i="2"/>
  <c r="T33" i="2"/>
  <c r="T32" i="2"/>
  <c r="T37" i="2"/>
  <c r="T29" i="2"/>
  <c r="T31" i="2"/>
  <c r="T36" i="2"/>
  <c r="T30" i="2"/>
  <c r="T28" i="2"/>
  <c r="T35" i="2"/>
  <c r="T34" i="2"/>
  <c r="U28" i="2"/>
  <c r="U33" i="2"/>
  <c r="U32" i="2"/>
  <c r="U37" i="2"/>
  <c r="U35" i="2"/>
  <c r="U34" i="2"/>
  <c r="U38" i="2"/>
  <c r="U31" i="2"/>
  <c r="U36" i="2"/>
  <c r="U29" i="2"/>
  <c r="U30" i="2"/>
  <c r="AE30" i="32"/>
  <c r="AE29" i="32"/>
  <c r="AE33" i="32"/>
  <c r="AE32" i="32"/>
  <c r="AE31" i="32"/>
  <c r="AE38" i="32"/>
  <c r="AE37" i="32"/>
  <c r="AE35" i="32"/>
  <c r="AE34" i="32"/>
  <c r="AE39" i="32"/>
  <c r="AE36" i="32"/>
  <c r="M28" i="2"/>
  <c r="M36" i="2"/>
  <c r="M35" i="2"/>
  <c r="M33" i="2"/>
  <c r="M34" i="2"/>
  <c r="M29" i="2"/>
  <c r="M37" i="2"/>
  <c r="M38" i="2"/>
  <c r="M31" i="2"/>
  <c r="M32" i="2"/>
  <c r="M30" i="2"/>
  <c r="Q29" i="2"/>
  <c r="Q35" i="2"/>
  <c r="Q37" i="2"/>
  <c r="Q32" i="2"/>
  <c r="Q28" i="2"/>
  <c r="Q38" i="2"/>
  <c r="Q33" i="2"/>
  <c r="Q36" i="2"/>
  <c r="Q31" i="2"/>
  <c r="Q34" i="2"/>
  <c r="Q30" i="2"/>
  <c r="S34" i="32"/>
  <c r="S35" i="32"/>
  <c r="S38" i="32"/>
  <c r="S39" i="32"/>
  <c r="S29" i="32"/>
  <c r="S30" i="32"/>
  <c r="S32" i="32"/>
  <c r="S31" i="32"/>
  <c r="S33" i="32"/>
  <c r="S36" i="32"/>
  <c r="S37" i="32"/>
  <c r="AA38" i="32"/>
  <c r="AA37" i="32"/>
  <c r="AA32" i="32"/>
  <c r="AA29" i="32"/>
  <c r="AA31" i="32"/>
  <c r="AA30" i="32"/>
  <c r="AA39" i="32"/>
  <c r="AA35" i="32"/>
  <c r="AA36" i="32"/>
  <c r="AA34" i="32"/>
  <c r="AA33" i="32"/>
  <c r="K28" i="2"/>
  <c r="K29" i="2"/>
  <c r="K35" i="2"/>
  <c r="K38" i="2"/>
  <c r="K31" i="2"/>
  <c r="K30" i="2"/>
  <c r="K32" i="2"/>
  <c r="K37" i="2"/>
  <c r="K36" i="2"/>
  <c r="K33" i="2"/>
  <c r="K34" i="2"/>
  <c r="Q35" i="32" l="1"/>
  <c r="Q32" i="32"/>
  <c r="Q33" i="32"/>
  <c r="Q30" i="32"/>
  <c r="Q29" i="32"/>
  <c r="Q38" i="32"/>
  <c r="Q39" i="32"/>
  <c r="Q37" i="32"/>
  <c r="Q36" i="32"/>
  <c r="Q31" i="32"/>
  <c r="Q34" i="32"/>
  <c r="X29" i="32" a="1"/>
  <c r="AC37" i="32"/>
  <c r="AC38" i="32"/>
  <c r="AC36" i="32"/>
  <c r="AC34" i="32"/>
  <c r="AC39" i="32"/>
  <c r="AC35" i="32"/>
  <c r="AC33" i="32"/>
  <c r="AC31" i="32"/>
  <c r="AC32" i="32"/>
  <c r="AC30" i="32"/>
  <c r="AC29" i="32"/>
  <c r="Y34" i="32"/>
  <c r="Y37" i="32"/>
  <c r="Y39" i="32"/>
  <c r="Y38" i="32"/>
  <c r="Y36" i="32"/>
  <c r="Y35" i="32"/>
  <c r="Y33" i="32"/>
  <c r="Y32" i="32"/>
  <c r="Y31" i="32"/>
  <c r="Y30" i="32"/>
  <c r="Y29" i="32"/>
  <c r="Z29" i="32" s="1" a="1"/>
  <c r="AB29" i="32" a="1"/>
  <c r="U29" i="32"/>
  <c r="U38" i="32"/>
  <c r="U39" i="32"/>
  <c r="U36" i="32"/>
  <c r="U35" i="32"/>
  <c r="U34" i="32"/>
  <c r="U33" i="32"/>
  <c r="U32" i="32"/>
  <c r="U31" i="32"/>
  <c r="U30" i="32"/>
  <c r="U37" i="32"/>
  <c r="AF29" i="32" a="1"/>
  <c r="T29" i="32" a="1"/>
  <c r="Z35" i="32" l="1"/>
  <c r="Z39" i="32"/>
  <c r="Z33" i="32"/>
  <c r="Z34" i="32"/>
  <c r="Z36" i="32"/>
  <c r="Z37" i="32"/>
  <c r="Z38" i="32"/>
  <c r="Z32" i="32"/>
  <c r="Z31" i="32"/>
  <c r="Z29" i="32"/>
  <c r="Z30" i="32"/>
  <c r="AB30" i="32"/>
  <c r="AB31" i="32"/>
  <c r="AB33" i="32"/>
  <c r="AB34" i="32"/>
  <c r="AB35" i="32"/>
  <c r="AB36" i="32"/>
  <c r="AB37" i="32"/>
  <c r="AB39" i="32"/>
  <c r="AB29" i="32"/>
  <c r="C13" i="32" s="1" a="1"/>
  <c r="AB32" i="32"/>
  <c r="AB38" i="32"/>
  <c r="AF34" i="32"/>
  <c r="AF35" i="32"/>
  <c r="AF29" i="32"/>
  <c r="AF30" i="32"/>
  <c r="AF31" i="32"/>
  <c r="AF33" i="32"/>
  <c r="AF32" i="32"/>
  <c r="AF38" i="32"/>
  <c r="AF39" i="32"/>
  <c r="AF36" i="32"/>
  <c r="AF37" i="32"/>
  <c r="X34" i="32"/>
  <c r="X35" i="32"/>
  <c r="X33" i="32"/>
  <c r="X36" i="32"/>
  <c r="X39" i="32"/>
  <c r="X37" i="32"/>
  <c r="X38" i="32"/>
  <c r="X30" i="32"/>
  <c r="X31" i="32"/>
  <c r="X32" i="32"/>
  <c r="X29" i="32"/>
  <c r="R29" i="32" a="1"/>
  <c r="V29" i="32" a="1"/>
  <c r="T34" i="32"/>
  <c r="T35" i="32"/>
  <c r="T36" i="32"/>
  <c r="T37" i="32"/>
  <c r="T29" i="32"/>
  <c r="T31" i="32"/>
  <c r="T32" i="32"/>
  <c r="T33" i="32"/>
  <c r="T39" i="32"/>
  <c r="T30" i="32"/>
  <c r="T38" i="32"/>
  <c r="AD29" i="32" a="1"/>
  <c r="D13" i="32" l="1"/>
  <c r="C13" i="32"/>
  <c r="L13" i="32"/>
  <c r="I13" i="32"/>
  <c r="K13" i="32"/>
  <c r="J13" i="32"/>
  <c r="M13" i="32"/>
  <c r="G13" i="32"/>
  <c r="F13" i="32"/>
  <c r="H13" i="32"/>
  <c r="E13" i="32"/>
  <c r="V39" i="32"/>
  <c r="V32" i="32"/>
  <c r="V33" i="32"/>
  <c r="V34" i="32"/>
  <c r="V35" i="32"/>
  <c r="V29" i="32"/>
  <c r="V31" i="32"/>
  <c r="V36" i="32"/>
  <c r="V37" i="32"/>
  <c r="V38" i="32"/>
  <c r="V30" i="32"/>
  <c r="AD33" i="32"/>
  <c r="AD34" i="32"/>
  <c r="AD32" i="32"/>
  <c r="AD39" i="32"/>
  <c r="AD35" i="32"/>
  <c r="AD36" i="32"/>
  <c r="AD37" i="32"/>
  <c r="AD38" i="32"/>
  <c r="AD30" i="32"/>
  <c r="AD31" i="32"/>
  <c r="AD29" i="32"/>
  <c r="C15" i="32" s="1" a="1"/>
  <c r="C7" i="32" a="1"/>
  <c r="C12" i="32" a="1"/>
  <c r="C16" i="32" a="1"/>
  <c r="R38" i="32"/>
  <c r="R29" i="32"/>
  <c r="R30" i="32"/>
  <c r="R32" i="32"/>
  <c r="R35" i="32"/>
  <c r="R33" i="32"/>
  <c r="R34" i="32"/>
  <c r="R31" i="32"/>
  <c r="R36" i="32"/>
  <c r="R37" i="32"/>
  <c r="R39" i="32"/>
  <c r="C10" i="32" a="1"/>
  <c r="D16" i="32" l="1"/>
  <c r="C16" i="32"/>
  <c r="M16" i="32"/>
  <c r="L16" i="32"/>
  <c r="I16" i="32"/>
  <c r="K16" i="32"/>
  <c r="J16" i="32"/>
  <c r="G16" i="32"/>
  <c r="H16" i="32"/>
  <c r="F16" i="32"/>
  <c r="E16" i="32"/>
  <c r="G15" i="32"/>
  <c r="K15" i="32"/>
  <c r="H15" i="32"/>
  <c r="J15" i="32"/>
  <c r="I15" i="32"/>
  <c r="L15" i="32"/>
  <c r="F15" i="32"/>
  <c r="C15" i="32"/>
  <c r="E15" i="32"/>
  <c r="D15" i="32"/>
  <c r="M15" i="32"/>
  <c r="C9" i="32" a="1"/>
  <c r="I12" i="32"/>
  <c r="F12" i="32"/>
  <c r="H12" i="32"/>
  <c r="G12" i="32"/>
  <c r="M12" i="32"/>
  <c r="L12" i="32"/>
  <c r="C12" i="32"/>
  <c r="K12" i="32"/>
  <c r="E12" i="32"/>
  <c r="D12" i="32"/>
  <c r="J12" i="32"/>
  <c r="J10" i="32"/>
  <c r="G10" i="32"/>
  <c r="I10" i="32"/>
  <c r="H10" i="32"/>
  <c r="M10" i="32"/>
  <c r="L10" i="32"/>
  <c r="K10" i="32"/>
  <c r="D10" i="32"/>
  <c r="C10" i="32"/>
  <c r="F10" i="32"/>
  <c r="E10" i="32"/>
  <c r="C6" i="32" a="1"/>
  <c r="K7" i="32"/>
  <c r="J7" i="32"/>
  <c r="I7" i="32"/>
  <c r="H7" i="32"/>
  <c r="G7" i="32"/>
  <c r="E7" i="32"/>
  <c r="M7" i="32"/>
  <c r="C7" i="32"/>
  <c r="L7" i="32"/>
  <c r="F7" i="32"/>
  <c r="D7" i="32"/>
  <c r="K6" i="32" l="1"/>
  <c r="F6" i="32"/>
  <c r="E6" i="32"/>
  <c r="I6" i="32"/>
  <c r="H6" i="32"/>
  <c r="G6" i="32"/>
  <c r="D6" i="32"/>
  <c r="C6" i="32"/>
  <c r="L6" i="32"/>
  <c r="J6" i="32"/>
  <c r="M6" i="32"/>
  <c r="L9" i="32"/>
  <c r="K9" i="32"/>
  <c r="I9" i="32"/>
  <c r="H9" i="32"/>
  <c r="G9" i="32"/>
  <c r="F9" i="32"/>
  <c r="D9" i="32"/>
  <c r="E9" i="32"/>
  <c r="C9" i="32"/>
  <c r="M9" i="32"/>
  <c r="J9" i="32"/>
</calcChain>
</file>

<file path=xl/sharedStrings.xml><?xml version="1.0" encoding="utf-8"?>
<sst xmlns="http://schemas.openxmlformats.org/spreadsheetml/2006/main" count="440" uniqueCount="258">
  <si>
    <t>Longueur ( L )</t>
  </si>
  <si>
    <t>1/2 Largeur de poupe ( a )</t>
  </si>
  <si>
    <t>t</t>
  </si>
  <si>
    <t>x(t)</t>
  </si>
  <si>
    <t>y(t)</t>
  </si>
  <si>
    <t>A0</t>
  </si>
  <si>
    <t>A1</t>
  </si>
  <si>
    <t>A2</t>
  </si>
  <si>
    <t>A3</t>
  </si>
  <si>
    <t>A4</t>
  </si>
  <si>
    <t>A5</t>
  </si>
  <si>
    <t>(1-t)</t>
  </si>
  <si>
    <t>Rapport Bm/L</t>
  </si>
  <si>
    <t>Longueur Brion / poupe</t>
  </si>
  <si>
    <t>Prof maxi (zMax)</t>
  </si>
  <si>
    <t>F1</t>
  </si>
  <si>
    <t>H1</t>
  </si>
  <si>
    <t xml:space="preserve">Recherche polynome ordre 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</si>
  <si>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</si>
  <si>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</si>
  <si>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</si>
  <si>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</si>
  <si>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</si>
  <si>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</si>
  <si>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</si>
  <si>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</si>
  <si>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</si>
  <si>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</si>
  <si>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</si>
  <si>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Résultat :</t>
  </si>
  <si>
    <t>X</t>
  </si>
  <si>
    <t>X^2</t>
  </si>
  <si>
    <t>F(x)=</t>
  </si>
  <si>
    <t>X^0</t>
  </si>
  <si>
    <t>X^1</t>
  </si>
  <si>
    <t>X^3</t>
  </si>
  <si>
    <t>X^4</t>
  </si>
  <si>
    <t>X^5</t>
  </si>
  <si>
    <t>X^6</t>
  </si>
  <si>
    <t>X^7</t>
  </si>
  <si>
    <t>X^8</t>
  </si>
  <si>
    <t>X^9</t>
  </si>
  <si>
    <t>X^10</t>
  </si>
  <si>
    <t>H1(x)=</t>
  </si>
  <si>
    <t>Y</t>
  </si>
  <si>
    <t>% longueur Brion /poupe</t>
  </si>
  <si>
    <t>Z</t>
  </si>
  <si>
    <t>Franc Bord (Fb)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</si>
  <si>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</si>
  <si>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</si>
  <si>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</si>
  <si>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</si>
  <si>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</si>
  <si>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</si>
  <si>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</si>
  <si>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</si>
  <si>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</si>
  <si>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</si>
  <si>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z(t)</t>
  </si>
  <si>
    <t>y1(t)</t>
  </si>
  <si>
    <t>z1(t)</t>
  </si>
  <si>
    <t>y2(t)</t>
  </si>
  <si>
    <t>y3(t)</t>
  </si>
  <si>
    <t>y4(t)</t>
  </si>
  <si>
    <t>y10(t)</t>
  </si>
  <si>
    <t>z2(t)</t>
  </si>
  <si>
    <t>z3(t)</t>
  </si>
  <si>
    <t>z4(t)</t>
  </si>
  <si>
    <t>z10(t)</t>
  </si>
  <si>
    <t>G11</t>
  </si>
  <si>
    <t>y11(t)</t>
  </si>
  <si>
    <t>z11(t)</t>
  </si>
  <si>
    <t>Abcisses des H1</t>
  </si>
  <si>
    <t>1/2 Bau maxi ( Bm )</t>
  </si>
  <si>
    <t>Hauteur de proue</t>
  </si>
  <si>
    <t>Hauteur de poupe (Hp)</t>
  </si>
  <si>
    <t>Volume coque</t>
  </si>
  <si>
    <t>Masse Estimée :</t>
  </si>
  <si>
    <t>Kg</t>
  </si>
  <si>
    <t>Volume Coque</t>
  </si>
  <si>
    <t>Xg</t>
  </si>
  <si>
    <t>Zg</t>
  </si>
  <si>
    <t>Yg</t>
  </si>
  <si>
    <t>A0z</t>
  </si>
  <si>
    <t>A0y</t>
  </si>
  <si>
    <t>A1y</t>
  </si>
  <si>
    <t>A1z</t>
  </si>
  <si>
    <t>A2y</t>
  </si>
  <si>
    <t>A2z</t>
  </si>
  <si>
    <t>A3y</t>
  </si>
  <si>
    <t>A3z</t>
  </si>
  <si>
    <t>A4y</t>
  </si>
  <si>
    <t>A4z</t>
  </si>
  <si>
    <t>A5y</t>
  </si>
  <si>
    <t>A5z</t>
  </si>
  <si>
    <t>X=</t>
  </si>
  <si>
    <t>matricie des X^n</t>
  </si>
  <si>
    <t>n=0</t>
  </si>
  <si>
    <t>n=1</t>
  </si>
  <si>
    <t>n=2</t>
  </si>
  <si>
    <t>n=3</t>
  </si>
  <si>
    <t>n=4</t>
  </si>
  <si>
    <t>n=5</t>
  </si>
  <si>
    <t>n=6</t>
  </si>
  <si>
    <t>n=7</t>
  </si>
  <si>
    <t>n=8</t>
  </si>
  <si>
    <t>n=9</t>
  </si>
  <si>
    <t>n=10</t>
  </si>
  <si>
    <t>Inverse de la matrice des X^n</t>
  </si>
  <si>
    <t>X^n</t>
  </si>
  <si>
    <t>Masse</t>
  </si>
  <si>
    <t>Xcc</t>
  </si>
  <si>
    <t>Ycc</t>
  </si>
  <si>
    <t>Zcc</t>
  </si>
  <si>
    <t>Masse désirée</t>
  </si>
  <si>
    <t>Décalage à fournir</t>
  </si>
  <si>
    <t>Surface Coque</t>
  </si>
  <si>
    <t>Surf. Mouillée</t>
  </si>
  <si>
    <t>z</t>
  </si>
  <si>
    <t>Résultats</t>
  </si>
  <si>
    <t>Angle(°)</t>
  </si>
  <si>
    <t>Assiette (°)</t>
  </si>
  <si>
    <t>Volume</t>
  </si>
  <si>
    <t>Crx</t>
  </si>
  <si>
    <t>Cry</t>
  </si>
  <si>
    <t>Var. SM</t>
  </si>
  <si>
    <t>% erreur V</t>
  </si>
  <si>
    <t>Volume carène à plat</t>
  </si>
  <si>
    <t>Cg</t>
  </si>
  <si>
    <t>BWL</t>
  </si>
  <si>
    <t>LWL</t>
  </si>
  <si>
    <t>T</t>
  </si>
  <si>
    <t>Coef. Prism</t>
  </si>
  <si>
    <t>Coeff. Bloc</t>
  </si>
  <si>
    <t>L HT</t>
  </si>
  <si>
    <t>B HT</t>
  </si>
  <si>
    <t>C. Coque</t>
  </si>
  <si>
    <t>C. Carène</t>
  </si>
  <si>
    <t>Surf M.</t>
  </si>
  <si>
    <t>Tab. arr.</t>
  </si>
  <si>
    <t>Enf.</t>
  </si>
  <si>
    <t>Amax</t>
  </si>
  <si>
    <t>XAmax</t>
  </si>
  <si>
    <t>D. Princ.</t>
  </si>
  <si>
    <t>Franc Bord</t>
  </si>
  <si>
    <t>Longueur HT</t>
  </si>
  <si>
    <t>A</t>
  </si>
  <si>
    <t>x</t>
  </si>
  <si>
    <t>Position du mât</t>
  </si>
  <si>
    <t>y</t>
  </si>
  <si>
    <t>Hauteur de Mât</t>
  </si>
  <si>
    <t>Longueur de bôme</t>
  </si>
  <si>
    <t>Type de gréément</t>
  </si>
  <si>
    <t>B</t>
  </si>
  <si>
    <t>Bout dehors</t>
  </si>
  <si>
    <t>a</t>
  </si>
  <si>
    <t>b</t>
  </si>
  <si>
    <t>Hauteur de bôme</t>
  </si>
  <si>
    <t>C</t>
  </si>
  <si>
    <t>D</t>
  </si>
  <si>
    <t>E</t>
  </si>
  <si>
    <t>F</t>
  </si>
  <si>
    <t>GV</t>
  </si>
  <si>
    <t>Sgv</t>
  </si>
  <si>
    <t>Foc</t>
  </si>
  <si>
    <t>Sfoc</t>
  </si>
  <si>
    <t>Cv</t>
  </si>
  <si>
    <t>angle de jupe</t>
  </si>
  <si>
    <t>alpha</t>
  </si>
  <si>
    <t>Beta</t>
  </si>
  <si>
    <t>Gamma</t>
  </si>
  <si>
    <t>Fx</t>
  </si>
  <si>
    <t>Fy</t>
  </si>
  <si>
    <t>Fz</t>
  </si>
  <si>
    <t>Xcv</t>
  </si>
  <si>
    <t>Ycv</t>
  </si>
  <si>
    <t>Zcv</t>
  </si>
  <si>
    <t>Numax</t>
  </si>
  <si>
    <t>Nvmax</t>
  </si>
  <si>
    <t>Angle</t>
  </si>
  <si>
    <t>Section</t>
  </si>
  <si>
    <t>²</t>
  </si>
  <si>
    <t>Arrière</t>
  </si>
  <si>
    <t>Avant</t>
  </si>
  <si>
    <t>Vitesse vent</t>
  </si>
  <si>
    <t>Nœuds</t>
  </si>
  <si>
    <t>cm</t>
  </si>
  <si>
    <t>cm²</t>
  </si>
  <si>
    <t>%</t>
  </si>
  <si>
    <t>°degrés</t>
  </si>
  <si>
    <t>cm3</t>
  </si>
  <si>
    <t>N.cm</t>
  </si>
  <si>
    <t>Mx (N.cm)</t>
  </si>
  <si>
    <t>My (N.cm)</t>
  </si>
  <si>
    <t>Mz (N.cm)</t>
  </si>
  <si>
    <t>Métacentre(z)</t>
  </si>
  <si>
    <t>Angle du vent</t>
  </si>
  <si>
    <t>°</t>
  </si>
  <si>
    <t>Surface toile</t>
  </si>
  <si>
    <t>m²</t>
  </si>
  <si>
    <t>Moment de gite</t>
  </si>
  <si>
    <t>Position Cv/Cg</t>
  </si>
  <si>
    <t>Calcul Effort</t>
  </si>
  <si>
    <t>Informations requises :</t>
  </si>
  <si>
    <t>Tiran d'eau</t>
  </si>
  <si>
    <t>Surface dérive</t>
  </si>
  <si>
    <t>xCd</t>
  </si>
  <si>
    <t>% surface toile</t>
  </si>
  <si>
    <t>% Xcv / Xcd</t>
  </si>
  <si>
    <t>Ftot</t>
  </si>
  <si>
    <t>Quille</t>
  </si>
  <si>
    <t>Poupe</t>
  </si>
  <si>
    <t>Proue</t>
  </si>
  <si>
    <t>Facteur d'évolution (x^y):</t>
  </si>
  <si>
    <t>X^Y</t>
  </si>
  <si>
    <t>Poupe / Proue</t>
  </si>
  <si>
    <t>Safran</t>
  </si>
  <si>
    <t>Longueur Safran</t>
  </si>
  <si>
    <t>Surface Quille</t>
  </si>
  <si>
    <t>Surface Safran</t>
  </si>
  <si>
    <t>%pente</t>
  </si>
  <si>
    <t>% Sq / Ss</t>
  </si>
  <si>
    <t>xD1/xS1</t>
  </si>
  <si>
    <t>xD2/xS2</t>
  </si>
  <si>
    <t>xD3/xS3</t>
  </si>
  <si>
    <t>xD4/xS4</t>
  </si>
  <si>
    <t># 20%</t>
  </si>
  <si>
    <t># 10%</t>
  </si>
  <si>
    <t># 12%</t>
  </si>
  <si>
    <t>Bulbe</t>
  </si>
  <si>
    <t>kg</t>
  </si>
  <si>
    <t>Volume apendices</t>
  </si>
  <si>
    <t>Différentiel de masse</t>
  </si>
  <si>
    <t>Masse (kg)</t>
  </si>
  <si>
    <t>Volume (cm3)</t>
  </si>
  <si>
    <t>Dec</t>
  </si>
  <si>
    <t>Calcul au centre de carène</t>
  </si>
  <si>
    <t>à gîte nulle</t>
  </si>
  <si>
    <t>m/s</t>
  </si>
  <si>
    <t>Xm</t>
  </si>
  <si>
    <t>Ym</t>
  </si>
  <si>
    <t>P(X)</t>
  </si>
  <si>
    <t>En Y</t>
  </si>
  <si>
    <t>En Z</t>
  </si>
  <si>
    <t>Q(X)</t>
  </si>
  <si>
    <t>Variation homoth.</t>
  </si>
  <si>
    <t>zD1</t>
  </si>
  <si>
    <t>zD2</t>
  </si>
  <si>
    <t>zD3</t>
  </si>
  <si>
    <t>zD4</t>
  </si>
  <si>
    <t>zCd</t>
  </si>
  <si>
    <t>Hauteur l</t>
  </si>
  <si>
    <t>Base J</t>
  </si>
  <si>
    <t>Zmini</t>
  </si>
  <si>
    <t>Xmin</t>
  </si>
  <si>
    <t>Lg Guindant</t>
  </si>
  <si>
    <t>Bordure</t>
  </si>
  <si>
    <t>Diagonale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</si>
</sst>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2" formatCode="0.0000000"/>
    <numFmt numFmtId="173" formatCode="0.000000"/>
    <numFmt numFmtId="175" formatCode="0.0000"/>
    <numFmt numFmtId="176" formatCode="0.000"/>
    <numFmt numFmtId="177" formatCode="0.0"/>
    <numFmt numFmtId="178" formatCode="0.0E+00"/>
    <numFmt numFmtId="195" formatCode="0.0000E+00"/>
    <numFmt numFmtId="196" formatCode="0.0%"/>
  </numFmts>
  <fonts count="31" x14ac:knownFonts="1">
    <font>
      <sz val="10"/>
      <name val="Arial"/>
    </font>
    <font>
      <sz val="10"/>
      <name val="Arial"/>
    </font>
    <font>
      <sz val="8"/>
      <name val="Arial"/>
    </font>
    <font>
      <sz val="10"/>
      <color indexed="9"/>
      <name val="Arial"/>
    </font>
    <font>
      <sz val="10"/>
      <color indexed="10"/>
      <name val="Arial"/>
    </font>
    <font>
      <sz val="10"/>
      <color indexed="12"/>
      <name val="Arial"/>
    </font>
    <font>
      <sz val="10"/>
      <color indexed="53"/>
      <name val="Arial"/>
    </font>
    <font>
      <sz val="10"/>
      <color indexed="60"/>
      <name val="Arial"/>
    </font>
    <font>
      <sz val="10"/>
      <color indexed="57"/>
      <name val="Arial"/>
    </font>
    <font>
      <sz val="10"/>
      <color indexed="23"/>
      <name val="Arial"/>
    </font>
    <font>
      <sz val="10"/>
      <color indexed="55"/>
      <name val="Arial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b/>
      <sz val="16"/>
      <name val="Arial"/>
      <family val="2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u/>
      <sz val="7.5"/>
      <color indexed="12"/>
      <name val="Arial"/>
    </font>
    <font>
      <sz val="10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color indexed="17"/>
      <name val="Arial"/>
    </font>
    <font>
      <b/>
      <sz val="10"/>
      <color indexed="17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4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2" fontId="0" fillId="0" borderId="0" xfId="0" applyNumberFormat="1"/>
    <xf numFmtId="0" fontId="0" fillId="0" borderId="0" xfId="0" applyBorder="1"/>
    <xf numFmtId="176" fontId="0" fillId="0" borderId="0" xfId="0" applyNumberFormat="1"/>
    <xf numFmtId="2" fontId="0" fillId="0" borderId="0" xfId="0" applyNumberFormat="1" applyBorder="1"/>
    <xf numFmtId="11" fontId="0" fillId="0" borderId="0" xfId="0" applyNumberFormat="1"/>
    <xf numFmtId="178" fontId="0" fillId="0" borderId="0" xfId="0" applyNumberFormat="1"/>
    <xf numFmtId="0" fontId="0" fillId="0" borderId="0" xfId="0" applyFill="1" applyBorder="1"/>
    <xf numFmtId="176" fontId="1" fillId="0" borderId="0" xfId="0" applyNumberFormat="1" applyFont="1"/>
    <xf numFmtId="0" fontId="6" fillId="2" borderId="1" xfId="0" applyFont="1" applyFill="1" applyBorder="1" applyProtection="1">
      <protection locked="0"/>
    </xf>
    <xf numFmtId="0" fontId="6" fillId="2" borderId="2" xfId="0" applyFont="1" applyFill="1" applyBorder="1" applyProtection="1">
      <protection locked="0"/>
    </xf>
    <xf numFmtId="9" fontId="6" fillId="2" borderId="2" xfId="0" applyNumberFormat="1" applyFont="1" applyFill="1" applyBorder="1" applyProtection="1">
      <protection locked="0"/>
    </xf>
    <xf numFmtId="0" fontId="6" fillId="2" borderId="3" xfId="0" applyFont="1" applyFill="1" applyBorder="1" applyProtection="1">
      <protection locked="0"/>
    </xf>
    <xf numFmtId="0" fontId="0" fillId="2" borderId="0" xfId="0" applyFill="1" applyProtection="1"/>
    <xf numFmtId="0" fontId="9" fillId="2" borderId="0" xfId="0" applyFont="1" applyFill="1" applyProtection="1"/>
    <xf numFmtId="0" fontId="7" fillId="2" borderId="4" xfId="0" applyFont="1" applyFill="1" applyBorder="1" applyProtection="1"/>
    <xf numFmtId="0" fontId="0" fillId="2" borderId="5" xfId="0" applyFill="1" applyBorder="1" applyProtection="1"/>
    <xf numFmtId="0" fontId="0" fillId="2" borderId="0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7" fillId="2" borderId="5" xfId="0" applyFont="1" applyFill="1" applyBorder="1" applyProtection="1"/>
    <xf numFmtId="0" fontId="6" fillId="2" borderId="2" xfId="0" applyFont="1" applyFill="1" applyBorder="1" applyProtection="1"/>
    <xf numFmtId="0" fontId="3" fillId="2" borderId="7" xfId="0" applyFont="1" applyFill="1" applyBorder="1" applyProtection="1"/>
    <xf numFmtId="0" fontId="3" fillId="2" borderId="8" xfId="0" applyFont="1" applyFill="1" applyBorder="1" applyProtection="1"/>
    <xf numFmtId="0" fontId="3" fillId="2" borderId="9" xfId="0" applyFont="1" applyFill="1" applyBorder="1" applyProtection="1"/>
    <xf numFmtId="0" fontId="0" fillId="2" borderId="1" xfId="0" applyFill="1" applyBorder="1" applyProtection="1"/>
    <xf numFmtId="0" fontId="0" fillId="2" borderId="10" xfId="0" applyFill="1" applyBorder="1" applyProtection="1"/>
    <xf numFmtId="0" fontId="0" fillId="2" borderId="11" xfId="0" applyFill="1" applyBorder="1" applyProtection="1"/>
    <xf numFmtId="0" fontId="8" fillId="2" borderId="2" xfId="0" applyFont="1" applyFill="1" applyBorder="1" applyProtection="1"/>
    <xf numFmtId="0" fontId="0" fillId="2" borderId="2" xfId="0" applyFill="1" applyBorder="1" applyProtection="1"/>
    <xf numFmtId="0" fontId="0" fillId="2" borderId="3" xfId="0" applyFill="1" applyBorder="1" applyProtection="1"/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7" xfId="0" applyFont="1" applyFill="1" applyBorder="1" applyProtection="1"/>
    <xf numFmtId="0" fontId="3" fillId="2" borderId="0" xfId="0" applyFont="1" applyFill="1" applyBorder="1" applyProtection="1"/>
    <xf numFmtId="0" fontId="3" fillId="2" borderId="6" xfId="0" applyFont="1" applyFill="1" applyBorder="1" applyProtection="1"/>
    <xf numFmtId="0" fontId="3" fillId="2" borderId="0" xfId="0" applyFont="1" applyFill="1" applyProtection="1"/>
    <xf numFmtId="0" fontId="4" fillId="2" borderId="0" xfId="0" applyFont="1" applyFill="1" applyProtection="1"/>
    <xf numFmtId="2" fontId="0" fillId="2" borderId="0" xfId="0" applyNumberFormat="1" applyFill="1" applyProtection="1"/>
    <xf numFmtId="0" fontId="1" fillId="2" borderId="0" xfId="0" applyFont="1" applyFill="1" applyProtection="1"/>
    <xf numFmtId="9" fontId="5" fillId="2" borderId="0" xfId="0" applyNumberFormat="1" applyFont="1" applyFill="1" applyBorder="1" applyProtection="1">
      <protection locked="0"/>
    </xf>
    <xf numFmtId="9" fontId="4" fillId="2" borderId="6" xfId="0" applyNumberFormat="1" applyFont="1" applyFill="1" applyBorder="1" applyProtection="1">
      <protection locked="0"/>
    </xf>
    <xf numFmtId="9" fontId="5" fillId="2" borderId="8" xfId="0" applyNumberFormat="1" applyFont="1" applyFill="1" applyBorder="1" applyProtection="1">
      <protection locked="0"/>
    </xf>
    <xf numFmtId="9" fontId="4" fillId="2" borderId="9" xfId="0" applyNumberFormat="1" applyFont="1" applyFill="1" applyBorder="1" applyProtection="1">
      <protection locked="0"/>
    </xf>
    <xf numFmtId="0" fontId="0" fillId="2" borderId="12" xfId="0" applyFill="1" applyBorder="1" applyAlignment="1" applyProtection="1">
      <alignment horizontal="center"/>
    </xf>
    <xf numFmtId="0" fontId="9" fillId="2" borderId="13" xfId="0" applyFont="1" applyFill="1" applyBorder="1" applyAlignment="1" applyProtection="1">
      <alignment horizontal="center"/>
    </xf>
    <xf numFmtId="2" fontId="10" fillId="2" borderId="10" xfId="0" applyNumberFormat="1" applyFont="1" applyFill="1" applyBorder="1" applyProtection="1"/>
    <xf numFmtId="2" fontId="10" fillId="2" borderId="11" xfId="0" applyNumberFormat="1" applyFont="1" applyFill="1" applyBorder="1" applyProtection="1"/>
    <xf numFmtId="2" fontId="10" fillId="2" borderId="8" xfId="0" applyNumberFormat="1" applyFont="1" applyFill="1" applyBorder="1" applyProtection="1"/>
    <xf numFmtId="2" fontId="10" fillId="2" borderId="9" xfId="0" applyNumberFormat="1" applyFont="1" applyFill="1" applyBorder="1" applyProtection="1"/>
    <xf numFmtId="2" fontId="10" fillId="2" borderId="0" xfId="0" applyNumberFormat="1" applyFont="1" applyFill="1" applyBorder="1" applyProtection="1"/>
    <xf numFmtId="1" fontId="10" fillId="2" borderId="10" xfId="0" applyNumberFormat="1" applyFont="1" applyFill="1" applyBorder="1" applyProtection="1"/>
    <xf numFmtId="1" fontId="10" fillId="2" borderId="11" xfId="0" applyNumberFormat="1" applyFont="1" applyFill="1" applyBorder="1" applyProtection="1"/>
    <xf numFmtId="0" fontId="10" fillId="2" borderId="8" xfId="0" applyFont="1" applyFill="1" applyBorder="1" applyProtection="1"/>
    <xf numFmtId="0" fontId="10" fillId="2" borderId="9" xfId="0" applyFont="1" applyFill="1" applyBorder="1" applyProtection="1"/>
    <xf numFmtId="0" fontId="9" fillId="2" borderId="14" xfId="0" applyFont="1" applyFill="1" applyBorder="1" applyAlignment="1" applyProtection="1">
      <alignment horizontal="center"/>
    </xf>
    <xf numFmtId="49" fontId="0" fillId="2" borderId="0" xfId="0" applyNumberForma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4" xfId="0" applyFill="1" applyBorder="1" applyProtection="1"/>
    <xf numFmtId="2" fontId="3" fillId="2" borderId="5" xfId="0" applyNumberFormat="1" applyFont="1" applyFill="1" applyBorder="1" applyProtection="1"/>
    <xf numFmtId="2" fontId="3" fillId="2" borderId="7" xfId="0" applyNumberFormat="1" applyFont="1" applyFill="1" applyBorder="1" applyProtection="1"/>
    <xf numFmtId="2" fontId="0" fillId="2" borderId="4" xfId="0" applyNumberFormat="1" applyFill="1" applyBorder="1" applyProtection="1"/>
    <xf numFmtId="0" fontId="3" fillId="2" borderId="5" xfId="0" applyFont="1" applyFill="1" applyBorder="1" applyProtection="1"/>
    <xf numFmtId="3" fontId="0" fillId="2" borderId="0" xfId="0" applyNumberFormat="1" applyFill="1" applyProtection="1"/>
    <xf numFmtId="175" fontId="0" fillId="0" borderId="0" xfId="0" applyNumberFormat="1"/>
    <xf numFmtId="177" fontId="0" fillId="0" borderId="0" xfId="0" applyNumberFormat="1"/>
    <xf numFmtId="0" fontId="0" fillId="0" borderId="6" xfId="0" applyBorder="1"/>
    <xf numFmtId="2" fontId="0" fillId="0" borderId="6" xfId="0" applyNumberFormat="1" applyBorder="1"/>
    <xf numFmtId="0" fontId="0" fillId="0" borderId="8" xfId="0" applyBorder="1"/>
    <xf numFmtId="2" fontId="0" fillId="0" borderId="8" xfId="0" applyNumberFormat="1" applyBorder="1"/>
    <xf numFmtId="2" fontId="0" fillId="0" borderId="9" xfId="0" applyNumberFormat="1" applyBorder="1"/>
    <xf numFmtId="0" fontId="0" fillId="0" borderId="2" xfId="0" applyBorder="1"/>
    <xf numFmtId="0" fontId="0" fillId="0" borderId="3" xfId="0" applyBorder="1"/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2" borderId="0" xfId="0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0" xfId="0" applyFill="1" applyAlignment="1" applyProtection="1">
      <alignment horizontal="right"/>
    </xf>
    <xf numFmtId="2" fontId="0" fillId="2" borderId="5" xfId="0" applyNumberFormat="1" applyFill="1" applyBorder="1" applyAlignment="1" applyProtection="1">
      <alignment horizontal="center"/>
    </xf>
    <xf numFmtId="0" fontId="0" fillId="2" borderId="5" xfId="0" applyFill="1" applyBorder="1" applyAlignment="1" applyProtection="1">
      <alignment horizontal="center"/>
    </xf>
    <xf numFmtId="173" fontId="0" fillId="0" borderId="0" xfId="0" applyNumberFormat="1"/>
    <xf numFmtId="0" fontId="0" fillId="3" borderId="0" xfId="0" applyFill="1" applyProtection="1">
      <protection locked="0"/>
    </xf>
    <xf numFmtId="3" fontId="0" fillId="3" borderId="0" xfId="0" applyNumberFormat="1" applyFill="1" applyBorder="1" applyAlignment="1" applyProtection="1">
      <alignment horizontal="center"/>
      <protection locked="0"/>
    </xf>
    <xf numFmtId="0" fontId="0" fillId="3" borderId="0" xfId="0" applyFill="1" applyBorder="1" applyProtection="1">
      <protection locked="0"/>
    </xf>
    <xf numFmtId="0" fontId="0" fillId="3" borderId="0" xfId="0" applyFill="1" applyProtection="1"/>
    <xf numFmtId="2" fontId="0" fillId="3" borderId="0" xfId="0" applyNumberFormat="1" applyFill="1" applyBorder="1" applyProtection="1">
      <protection locked="0"/>
    </xf>
    <xf numFmtId="3" fontId="0" fillId="3" borderId="0" xfId="0" applyNumberFormat="1" applyFill="1" applyBorder="1" applyProtection="1">
      <protection locked="0"/>
    </xf>
    <xf numFmtId="4" fontId="0" fillId="3" borderId="0" xfId="0" applyNumberFormat="1" applyFill="1" applyBorder="1" applyAlignment="1" applyProtection="1">
      <alignment horizontal="center"/>
      <protection locked="0"/>
    </xf>
    <xf numFmtId="1" fontId="0" fillId="3" borderId="0" xfId="0" applyNumberFormat="1" applyFill="1" applyAlignment="1" applyProtection="1">
      <alignment horizontal="center"/>
      <protection locked="0"/>
    </xf>
    <xf numFmtId="0" fontId="0" fillId="3" borderId="13" xfId="0" applyFill="1" applyBorder="1" applyProtection="1"/>
    <xf numFmtId="2" fontId="0" fillId="3" borderId="0" xfId="0" applyNumberFormat="1" applyFill="1" applyProtection="1">
      <protection locked="0"/>
    </xf>
    <xf numFmtId="1" fontId="0" fillId="3" borderId="0" xfId="0" applyNumberFormat="1" applyFill="1" applyProtection="1">
      <protection locked="0"/>
    </xf>
    <xf numFmtId="176" fontId="0" fillId="3" borderId="0" xfId="0" applyNumberFormat="1" applyFill="1" applyProtection="1">
      <protection locked="0"/>
    </xf>
    <xf numFmtId="177" fontId="0" fillId="3" borderId="0" xfId="0" applyNumberFormat="1" applyFill="1" applyProtection="1">
      <protection locked="0"/>
    </xf>
    <xf numFmtId="0" fontId="0" fillId="4" borderId="13" xfId="0" applyFill="1" applyBorder="1" applyProtection="1"/>
    <xf numFmtId="0" fontId="0" fillId="5" borderId="13" xfId="0" applyFill="1" applyBorder="1" applyProtection="1"/>
    <xf numFmtId="2" fontId="1" fillId="2" borderId="4" xfId="0" applyNumberFormat="1" applyFont="1" applyFill="1" applyBorder="1" applyProtection="1"/>
    <xf numFmtId="0" fontId="1" fillId="2" borderId="4" xfId="0" applyFont="1" applyFill="1" applyBorder="1" applyProtection="1"/>
    <xf numFmtId="0" fontId="9" fillId="2" borderId="12" xfId="0" applyFont="1" applyFill="1" applyBorder="1" applyAlignment="1" applyProtection="1">
      <alignment horizontal="center"/>
    </xf>
    <xf numFmtId="2" fontId="10" fillId="2" borderId="4" xfId="0" applyNumberFormat="1" applyFont="1" applyFill="1" applyBorder="1" applyProtection="1"/>
    <xf numFmtId="2" fontId="10" fillId="2" borderId="7" xfId="0" applyNumberFormat="1" applyFont="1" applyFill="1" applyBorder="1" applyProtection="1"/>
    <xf numFmtId="9" fontId="5" fillId="2" borderId="4" xfId="0" applyNumberFormat="1" applyFont="1" applyFill="1" applyBorder="1" applyProtection="1">
      <protection locked="0"/>
    </xf>
    <xf numFmtId="2" fontId="10" fillId="2" borderId="5" xfId="0" applyNumberFormat="1" applyFont="1" applyFill="1" applyBorder="1" applyProtection="1"/>
    <xf numFmtId="2" fontId="10" fillId="2" borderId="6" xfId="0" applyNumberFormat="1" applyFont="1" applyFill="1" applyBorder="1" applyProtection="1"/>
    <xf numFmtId="1" fontId="10" fillId="2" borderId="4" xfId="0" applyNumberFormat="1" applyFont="1" applyFill="1" applyBorder="1" applyProtection="1"/>
    <xf numFmtId="0" fontId="10" fillId="2" borderId="7" xfId="0" applyFont="1" applyFill="1" applyBorder="1" applyProtection="1"/>
    <xf numFmtId="9" fontId="5" fillId="2" borderId="10" xfId="0" applyNumberFormat="1" applyFont="1" applyFill="1" applyBorder="1" applyProtection="1"/>
    <xf numFmtId="9" fontId="4" fillId="2" borderId="0" xfId="0" applyNumberFormat="1" applyFont="1" applyFill="1" applyBorder="1" applyProtection="1"/>
    <xf numFmtId="0" fontId="0" fillId="2" borderId="7" xfId="0" applyFill="1" applyBorder="1" applyProtection="1"/>
    <xf numFmtId="9" fontId="4" fillId="2" borderId="7" xfId="0" applyNumberFormat="1" applyFont="1" applyFill="1" applyBorder="1" applyProtection="1">
      <protection locked="0"/>
    </xf>
    <xf numFmtId="0" fontId="0" fillId="2" borderId="12" xfId="0" applyFill="1" applyBorder="1" applyProtection="1"/>
    <xf numFmtId="0" fontId="0" fillId="2" borderId="13" xfId="0" applyFill="1" applyBorder="1" applyProtection="1"/>
    <xf numFmtId="0" fontId="0" fillId="2" borderId="14" xfId="0" applyFill="1" applyBorder="1" applyProtection="1"/>
    <xf numFmtId="195" fontId="0" fillId="0" borderId="0" xfId="0" applyNumberFormat="1"/>
    <xf numFmtId="1" fontId="1" fillId="3" borderId="0" xfId="0" applyNumberFormat="1" applyFont="1" applyFill="1" applyProtection="1">
      <protection locked="0"/>
    </xf>
    <xf numFmtId="176" fontId="1" fillId="3" borderId="0" xfId="0" applyNumberFormat="1" applyFont="1" applyFill="1" applyProtection="1">
      <protection locked="0"/>
    </xf>
    <xf numFmtId="0" fontId="0" fillId="3" borderId="16" xfId="0" applyFill="1" applyBorder="1" applyAlignment="1" applyProtection="1">
      <alignment horizontal="center"/>
    </xf>
    <xf numFmtId="0" fontId="0" fillId="3" borderId="17" xfId="0" applyFill="1" applyBorder="1" applyAlignment="1" applyProtection="1">
      <alignment horizontal="center"/>
    </xf>
    <xf numFmtId="0" fontId="0" fillId="3" borderId="17" xfId="0" applyFill="1" applyBorder="1" applyProtection="1"/>
    <xf numFmtId="0" fontId="1" fillId="3" borderId="17" xfId="0" applyFont="1" applyFill="1" applyBorder="1" applyAlignment="1" applyProtection="1">
      <alignment horizontal="center"/>
    </xf>
    <xf numFmtId="0" fontId="1" fillId="3" borderId="18" xfId="0" applyFont="1" applyFill="1" applyBorder="1" applyAlignment="1" applyProtection="1">
      <alignment horizontal="center"/>
    </xf>
    <xf numFmtId="0" fontId="0" fillId="3" borderId="19" xfId="0" applyFill="1" applyBorder="1" applyAlignment="1" applyProtection="1">
      <alignment horizontal="center"/>
    </xf>
    <xf numFmtId="0" fontId="0" fillId="3" borderId="20" xfId="0" applyFill="1" applyBorder="1" applyAlignment="1" applyProtection="1">
      <alignment horizontal="center"/>
    </xf>
    <xf numFmtId="0" fontId="0" fillId="3" borderId="20" xfId="0" applyFill="1" applyBorder="1" applyProtection="1">
      <protection locked="0"/>
    </xf>
    <xf numFmtId="0" fontId="0" fillId="3" borderId="21" xfId="0" applyFill="1" applyBorder="1" applyProtection="1">
      <protection locked="0"/>
    </xf>
    <xf numFmtId="177" fontId="1" fillId="3" borderId="0" xfId="0" applyNumberFormat="1" applyFont="1" applyFill="1" applyProtection="1">
      <protection locked="0"/>
    </xf>
    <xf numFmtId="0" fontId="25" fillId="3" borderId="0" xfId="0" applyFont="1" applyFill="1" applyProtection="1">
      <protection locked="0"/>
    </xf>
    <xf numFmtId="0" fontId="25" fillId="3" borderId="17" xfId="0" applyFont="1" applyFill="1" applyBorder="1" applyAlignment="1" applyProtection="1">
      <alignment horizontal="center"/>
    </xf>
    <xf numFmtId="0" fontId="25" fillId="3" borderId="20" xfId="0" applyFont="1" applyFill="1" applyBorder="1" applyProtection="1">
      <protection locked="0"/>
    </xf>
    <xf numFmtId="178" fontId="25" fillId="3" borderId="0" xfId="0" applyNumberFormat="1" applyFont="1" applyFill="1" applyProtection="1">
      <protection locked="0"/>
    </xf>
    <xf numFmtId="177" fontId="25" fillId="3" borderId="0" xfId="0" applyNumberFormat="1" applyFont="1" applyFill="1" applyProtection="1">
      <protection locked="0"/>
    </xf>
    <xf numFmtId="2" fontId="25" fillId="3" borderId="0" xfId="0" applyNumberFormat="1" applyFont="1" applyFill="1" applyProtection="1">
      <protection locked="0"/>
    </xf>
    <xf numFmtId="1" fontId="25" fillId="3" borderId="0" xfId="0" applyNumberFormat="1" applyFont="1" applyFill="1" applyProtection="1">
      <protection locked="0"/>
    </xf>
    <xf numFmtId="0" fontId="26" fillId="3" borderId="0" xfId="0" applyFont="1" applyFill="1" applyProtection="1"/>
    <xf numFmtId="0" fontId="26" fillId="3" borderId="0" xfId="0" applyFont="1" applyFill="1" applyProtection="1">
      <protection locked="0"/>
    </xf>
    <xf numFmtId="0" fontId="0" fillId="3" borderId="1" xfId="0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1" fillId="3" borderId="0" xfId="0" applyFont="1" applyFill="1" applyProtection="1">
      <protection locked="0"/>
    </xf>
    <xf numFmtId="10" fontId="0" fillId="3" borderId="0" xfId="0" applyNumberFormat="1" applyFill="1" applyProtection="1">
      <protection locked="0"/>
    </xf>
    <xf numFmtId="0" fontId="0" fillId="2" borderId="0" xfId="0" applyFill="1"/>
    <xf numFmtId="2" fontId="0" fillId="2" borderId="0" xfId="0" applyNumberFormat="1" applyFill="1"/>
    <xf numFmtId="9" fontId="0" fillId="2" borderId="0" xfId="0" applyNumberFormat="1" applyFill="1"/>
    <xf numFmtId="0" fontId="24" fillId="2" borderId="0" xfId="1" applyFill="1" applyAlignment="1" applyProtection="1"/>
    <xf numFmtId="172" fontId="0" fillId="2" borderId="0" xfId="0" applyNumberFormat="1" applyFill="1"/>
    <xf numFmtId="177" fontId="0" fillId="2" borderId="0" xfId="0" applyNumberFormat="1" applyFill="1"/>
    <xf numFmtId="0" fontId="0" fillId="2" borderId="4" xfId="0" applyFill="1" applyBorder="1"/>
    <xf numFmtId="0" fontId="29" fillId="2" borderId="11" xfId="0" applyFont="1" applyFill="1" applyBorder="1"/>
    <xf numFmtId="0" fontId="0" fillId="2" borderId="5" xfId="0" applyFill="1" applyBorder="1"/>
    <xf numFmtId="0" fontId="29" fillId="2" borderId="6" xfId="0" applyFont="1" applyFill="1" applyBorder="1"/>
    <xf numFmtId="0" fontId="0" fillId="2" borderId="7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15" xfId="0" applyFill="1" applyBorder="1"/>
    <xf numFmtId="0" fontId="6" fillId="2" borderId="0" xfId="0" applyFont="1" applyFill="1" applyProtection="1">
      <protection locked="0"/>
    </xf>
    <xf numFmtId="175" fontId="0" fillId="2" borderId="0" xfId="0" applyNumberFormat="1" applyFill="1" applyProtection="1">
      <protection locked="0"/>
    </xf>
    <xf numFmtId="176" fontId="0" fillId="2" borderId="0" xfId="0" applyNumberFormat="1" applyFill="1" applyProtection="1">
      <protection locked="0"/>
    </xf>
    <xf numFmtId="9" fontId="6" fillId="2" borderId="6" xfId="0" applyNumberFormat="1" applyFont="1" applyFill="1" applyBorder="1" applyProtection="1">
      <protection locked="0"/>
    </xf>
    <xf numFmtId="0" fontId="6" fillId="2" borderId="6" xfId="0" applyFont="1" applyFill="1" applyBorder="1" applyProtection="1">
      <protection locked="0"/>
    </xf>
    <xf numFmtId="2" fontId="6" fillId="2" borderId="6" xfId="0" applyNumberFormat="1" applyFont="1" applyFill="1" applyBorder="1" applyAlignment="1" applyProtection="1">
      <alignment horizontal="right"/>
      <protection locked="0"/>
    </xf>
    <xf numFmtId="10" fontId="6" fillId="2" borderId="6" xfId="0" applyNumberFormat="1" applyFont="1" applyFill="1" applyBorder="1" applyProtection="1">
      <protection locked="0"/>
    </xf>
    <xf numFmtId="10" fontId="6" fillId="2" borderId="9" xfId="0" applyNumberFormat="1" applyFont="1" applyFill="1" applyBorder="1" applyProtection="1">
      <protection locked="0"/>
    </xf>
    <xf numFmtId="2" fontId="6" fillId="2" borderId="14" xfId="0" applyNumberFormat="1" applyFont="1" applyFill="1" applyBorder="1" applyProtection="1">
      <protection locked="0"/>
    </xf>
    <xf numFmtId="0" fontId="28" fillId="2" borderId="22" xfId="0" applyFont="1" applyFill="1" applyBorder="1"/>
    <xf numFmtId="0" fontId="0" fillId="2" borderId="23" xfId="0" applyFill="1" applyBorder="1"/>
    <xf numFmtId="0" fontId="28" fillId="2" borderId="24" xfId="0" applyFont="1" applyFill="1" applyBorder="1"/>
    <xf numFmtId="0" fontId="28" fillId="2" borderId="25" xfId="0" applyFont="1" applyFill="1" applyBorder="1"/>
    <xf numFmtId="0" fontId="6" fillId="2" borderId="14" xfId="0" applyFont="1" applyFill="1" applyBorder="1" applyProtection="1">
      <protection locked="0"/>
    </xf>
    <xf numFmtId="0" fontId="0" fillId="2" borderId="10" xfId="0" applyFill="1" applyBorder="1"/>
    <xf numFmtId="0" fontId="0" fillId="2" borderId="0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196" fontId="6" fillId="2" borderId="1" xfId="0" applyNumberFormat="1" applyFont="1" applyFill="1" applyBorder="1" applyProtection="1">
      <protection locked="0"/>
    </xf>
    <xf numFmtId="196" fontId="6" fillId="2" borderId="2" xfId="0" applyNumberFormat="1" applyFont="1" applyFill="1" applyBorder="1" applyProtection="1">
      <protection locked="0"/>
    </xf>
    <xf numFmtId="196" fontId="6" fillId="2" borderId="3" xfId="0" applyNumberFormat="1" applyFont="1" applyFill="1" applyBorder="1" applyProtection="1">
      <protection locked="0"/>
    </xf>
    <xf numFmtId="10" fontId="6" fillId="2" borderId="1" xfId="0" applyNumberFormat="1" applyFont="1" applyFill="1" applyBorder="1" applyProtection="1">
      <protection locked="0"/>
    </xf>
    <xf numFmtId="10" fontId="6" fillId="2" borderId="2" xfId="0" applyNumberFormat="1" applyFont="1" applyFill="1" applyBorder="1" applyProtection="1">
      <protection locked="0"/>
    </xf>
    <xf numFmtId="10" fontId="6" fillId="2" borderId="3" xfId="0" applyNumberFormat="1" applyFont="1" applyFill="1" applyBorder="1" applyProtection="1">
      <protection locked="0"/>
    </xf>
    <xf numFmtId="2" fontId="29" fillId="2" borderId="0" xfId="0" applyNumberFormat="1" applyFont="1" applyFill="1" applyProtection="1">
      <protection locked="0"/>
    </xf>
    <xf numFmtId="10" fontId="30" fillId="2" borderId="26" xfId="0" applyNumberFormat="1" applyFont="1" applyFill="1" applyBorder="1" applyProtection="1">
      <protection locked="0"/>
    </xf>
    <xf numFmtId="4" fontId="30" fillId="2" borderId="27" xfId="0" applyNumberFormat="1" applyFont="1" applyFill="1" applyBorder="1" applyProtection="1">
      <protection locked="0"/>
    </xf>
    <xf numFmtId="10" fontId="30" fillId="2" borderId="28" xfId="0" applyNumberFormat="1" applyFont="1" applyFill="1" applyBorder="1" applyProtection="1">
      <protection locked="0"/>
    </xf>
    <xf numFmtId="0" fontId="0" fillId="2" borderId="0" xfId="0" applyFill="1" applyBorder="1"/>
    <xf numFmtId="0" fontId="6" fillId="2" borderId="11" xfId="0" applyFont="1" applyFill="1" applyBorder="1" applyProtection="1">
      <protection locked="0"/>
    </xf>
    <xf numFmtId="10" fontId="29" fillId="2" borderId="0" xfId="0" applyNumberFormat="1" applyFont="1" applyFill="1" applyProtection="1">
      <protection locked="0"/>
    </xf>
    <xf numFmtId="2" fontId="30" fillId="2" borderId="29" xfId="0" applyNumberFormat="1" applyFont="1" applyFill="1" applyBorder="1" applyProtection="1">
      <protection locked="0"/>
    </xf>
    <xf numFmtId="2" fontId="30" fillId="2" borderId="30" xfId="0" applyNumberFormat="1" applyFont="1" applyFill="1" applyBorder="1" applyProtection="1">
      <protection locked="0"/>
    </xf>
    <xf numFmtId="0" fontId="27" fillId="2" borderId="31" xfId="0" applyFont="1" applyFill="1" applyBorder="1"/>
    <xf numFmtId="0" fontId="27" fillId="2" borderId="32" xfId="0" applyFont="1" applyFill="1" applyBorder="1"/>
    <xf numFmtId="9" fontId="4" fillId="2" borderId="33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8" xfId="0" applyFill="1" applyBorder="1"/>
    <xf numFmtId="2" fontId="29" fillId="2" borderId="1" xfId="0" applyNumberFormat="1" applyFont="1" applyFill="1" applyBorder="1"/>
    <xf numFmtId="2" fontId="29" fillId="2" borderId="2" xfId="0" applyNumberFormat="1" applyFont="1" applyFill="1" applyBorder="1"/>
    <xf numFmtId="2" fontId="29" fillId="2" borderId="3" xfId="0" applyNumberFormat="1" applyFont="1" applyFill="1" applyBorder="1"/>
    <xf numFmtId="9" fontId="5" fillId="2" borderId="1" xfId="0" applyNumberFormat="1" applyFont="1" applyFill="1" applyBorder="1" applyProtection="1">
      <protection locked="0"/>
    </xf>
    <xf numFmtId="9" fontId="4" fillId="2" borderId="3" xfId="0" applyNumberFormat="1" applyFont="1" applyFill="1" applyBorder="1" applyProtection="1">
      <protection locked="0"/>
    </xf>
    <xf numFmtId="176" fontId="0" fillId="2" borderId="0" xfId="0" applyNumberFormat="1" applyFill="1"/>
    <xf numFmtId="0" fontId="0" fillId="2" borderId="8" xfId="0" applyFill="1" applyBorder="1" applyAlignment="1" applyProtection="1">
      <alignment horizontal="center"/>
    </xf>
    <xf numFmtId="1" fontId="0" fillId="2" borderId="0" xfId="0" applyNumberFormat="1" applyFill="1"/>
    <xf numFmtId="177" fontId="0" fillId="2" borderId="0" xfId="0" applyNumberFormat="1" applyFill="1" applyProtection="1"/>
    <xf numFmtId="0" fontId="0" fillId="2" borderId="10" xfId="0" applyFill="1" applyBorder="1" applyAlignment="1" applyProtection="1">
      <alignment horizontal="center"/>
    </xf>
    <xf numFmtId="0" fontId="0" fillId="2" borderId="11" xfId="0" applyFill="1" applyBorder="1" applyAlignment="1" applyProtection="1">
      <alignment horizontal="center"/>
    </xf>
    <xf numFmtId="2" fontId="4" fillId="2" borderId="15" xfId="0" applyNumberFormat="1" applyFont="1" applyFill="1" applyBorder="1" applyAlignment="1" applyProtection="1">
      <alignment horizontal="center"/>
      <protection locked="0"/>
    </xf>
    <xf numFmtId="9" fontId="4" fillId="2" borderId="0" xfId="0" applyNumberFormat="1" applyFont="1" applyFill="1" applyBorder="1" applyAlignment="1" applyProtection="1">
      <alignment horizontal="center"/>
    </xf>
    <xf numFmtId="9" fontId="4" fillId="2" borderId="6" xfId="0" applyNumberFormat="1" applyFont="1" applyFill="1" applyBorder="1" applyAlignment="1" applyProtection="1">
      <alignment horizontal="center"/>
    </xf>
    <xf numFmtId="9" fontId="4" fillId="2" borderId="8" xfId="0" applyNumberFormat="1" applyFont="1" applyFill="1" applyBorder="1" applyAlignment="1" applyProtection="1">
      <alignment horizontal="center"/>
    </xf>
    <xf numFmtId="9" fontId="4" fillId="2" borderId="9" xfId="0" applyNumberFormat="1" applyFont="1" applyFill="1" applyBorder="1" applyAlignment="1" applyProtection="1">
      <alignment horizontal="center"/>
    </xf>
    <xf numFmtId="1" fontId="0" fillId="2" borderId="11" xfId="0" applyNumberFormat="1" applyFill="1" applyBorder="1"/>
    <xf numFmtId="1" fontId="0" fillId="2" borderId="6" xfId="0" applyNumberFormat="1" applyFill="1" applyBorder="1"/>
    <xf numFmtId="1" fontId="0" fillId="2" borderId="9" xfId="0" applyNumberFormat="1" applyFill="1" applyBorder="1"/>
    <xf numFmtId="0" fontId="0" fillId="6" borderId="0" xfId="0" applyFill="1"/>
    <xf numFmtId="177" fontId="0" fillId="6" borderId="0" xfId="0" applyNumberFormat="1" applyFill="1"/>
    <xf numFmtId="0" fontId="0" fillId="7" borderId="0" xfId="0" applyFill="1"/>
    <xf numFmtId="177" fontId="0" fillId="7" borderId="0" xfId="0" applyNumberFormat="1" applyFill="1"/>
    <xf numFmtId="2" fontId="0" fillId="7" borderId="0" xfId="0" applyNumberFormat="1" applyFill="1"/>
    <xf numFmtId="0" fontId="0" fillId="2" borderId="12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9" fillId="2" borderId="4" xfId="0" applyFont="1" applyFill="1" applyBorder="1" applyAlignment="1" applyProtection="1">
      <alignment horizontal="center"/>
    </xf>
    <xf numFmtId="0" fontId="9" fillId="2" borderId="10" xfId="0" applyFont="1" applyFill="1" applyBorder="1" applyAlignment="1" applyProtection="1">
      <alignment horizontal="center"/>
    </xf>
    <xf numFmtId="0" fontId="9" fillId="2" borderId="11" xfId="0" applyFont="1" applyFill="1" applyBorder="1" applyAlignment="1" applyProtection="1">
      <alignment horizontal="center"/>
    </xf>
    <xf numFmtId="0" fontId="0" fillId="7" borderId="13" xfId="0" applyFill="1" applyBorder="1" applyAlignment="1" applyProtection="1">
      <alignment horizontal="center"/>
    </xf>
    <xf numFmtId="0" fontId="0" fillId="7" borderId="14" xfId="0" applyFill="1" applyBorder="1" applyAlignment="1" applyProtection="1">
      <alignment horizontal="center"/>
    </xf>
    <xf numFmtId="0" fontId="0" fillId="6" borderId="12" xfId="0" applyFill="1" applyBorder="1" applyAlignment="1" applyProtection="1">
      <alignment horizontal="center"/>
    </xf>
    <xf numFmtId="0" fontId="0" fillId="6" borderId="13" xfId="0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2" xfId="0" applyFill="1" applyBorder="1" applyAlignment="1" applyProtection="1">
      <alignment horizontal="center" vertical="center" wrapText="1"/>
    </xf>
    <xf numFmtId="0" fontId="0" fillId="2" borderId="3" xfId="0" applyFill="1" applyBorder="1" applyAlignment="1" applyProtection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17" fillId="3" borderId="4" xfId="0" applyFont="1" applyFill="1" applyBorder="1" applyAlignment="1" applyProtection="1">
      <alignment horizontal="center"/>
    </xf>
    <xf numFmtId="0" fontId="17" fillId="3" borderId="10" xfId="0" applyFont="1" applyFill="1" applyBorder="1" applyAlignment="1" applyProtection="1">
      <alignment horizontal="center"/>
    </xf>
    <xf numFmtId="0" fontId="17" fillId="3" borderId="11" xfId="0" applyFont="1" applyFill="1" applyBorder="1" applyAlignment="1" applyProtection="1">
      <alignment horizontal="center"/>
    </xf>
    <xf numFmtId="0" fontId="17" fillId="3" borderId="7" xfId="0" applyFont="1" applyFill="1" applyBorder="1" applyAlignment="1" applyProtection="1">
      <alignment horizontal="center"/>
    </xf>
    <xf numFmtId="0" fontId="17" fillId="3" borderId="8" xfId="0" applyFont="1" applyFill="1" applyBorder="1" applyAlignment="1" applyProtection="1">
      <alignment horizontal="center"/>
    </xf>
    <xf numFmtId="0" fontId="17" fillId="3" borderId="9" xfId="0" applyFont="1" applyFill="1" applyBorder="1" applyAlignment="1" applyProtection="1">
      <alignment horizontal="center"/>
    </xf>
    <xf numFmtId="176" fontId="0" fillId="3" borderId="0" xfId="0" applyNumberFormat="1" applyFill="1" applyAlignment="1" applyProtection="1">
      <alignment horizontal="center"/>
      <protection locked="0"/>
    </xf>
    <xf numFmtId="1" fontId="0" fillId="3" borderId="0" xfId="0" applyNumberFormat="1" applyFill="1" applyBorder="1" applyAlignment="1" applyProtection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worksheet" Target="worksheets/sheet7.xml"/><Relationship Id="rId18" Type="http://schemas.openxmlformats.org/officeDocument/2006/relationships/worksheet" Target="worksheets/sheet1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chartsheet" Target="chartsheets/sheet2.xml"/><Relationship Id="rId12" Type="http://schemas.openxmlformats.org/officeDocument/2006/relationships/worksheet" Target="worksheets/sheet6.xml"/><Relationship Id="rId17" Type="http://schemas.openxmlformats.org/officeDocument/2006/relationships/worksheet" Target="work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0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hartsheet" Target="chartsheets/sheet6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9.xml"/><Relationship Id="rId23" Type="http://schemas.openxmlformats.org/officeDocument/2006/relationships/calcChain" Target="calcChain.xml"/><Relationship Id="rId10" Type="http://schemas.openxmlformats.org/officeDocument/2006/relationships/chartsheet" Target="chartsheets/sheet5.xml"/><Relationship Id="rId19" Type="http://schemas.openxmlformats.org/officeDocument/2006/relationships/worksheet" Target="worksheets/sheet13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worksheet" Target="worksheets/sheet8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54708811827743"/>
          <c:y val="0.107410909926522"/>
          <c:w val="0.798221741140967"/>
          <c:h val="0.78891461428790299"/>
        </c:manualLayout>
      </c:layout>
      <c:scatterChart>
        <c:scatterStyle val="smoothMarker"/>
        <c:varyColors val="0"/>
        <c:ser>
          <c:idx val="0"/>
          <c:order val="0"/>
          <c:tx>
            <c:v>H1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Parametrique!$D$28:$D$38</c:f>
              <c:numCache>
                <c:formatCode>0.00</c:formatCode>
                <c:ptCount val="11"/>
                <c:pt idx="0">
                  <c:v>0</c:v>
                </c:pt>
                <c:pt idx="1">
                  <c:v>11.844607426730155</c:v>
                </c:pt>
                <c:pt idx="2">
                  <c:v>22.587839831378467</c:v>
                </c:pt>
                <c:pt idx="3">
                  <c:v>32.355922332580697</c:v>
                </c:pt>
                <c:pt idx="4">
                  <c:v>41.453279964040526</c:v>
                </c:pt>
                <c:pt idx="5">
                  <c:v>50.273437695752364</c:v>
                </c:pt>
                <c:pt idx="6">
                  <c:v>59.20992045522452</c:v>
                </c:pt>
                <c:pt idx="7">
                  <c:v>68.567153148702019</c:v>
                </c:pt>
                <c:pt idx="8">
                  <c:v>78.471360682389758</c:v>
                </c:pt>
                <c:pt idx="9">
                  <c:v>88.781467983675228</c:v>
                </c:pt>
                <c:pt idx="10">
                  <c:v>99.000000022351742</c:v>
                </c:pt>
              </c:numCache>
            </c:numRef>
          </c:xVal>
          <c:yVal>
            <c:numRef>
              <c:f>Parametrique!$E$28:$E$38</c:f>
              <c:numCache>
                <c:formatCode>0.00</c:formatCode>
                <c:ptCount val="11"/>
                <c:pt idx="0">
                  <c:v>0.5</c:v>
                </c:pt>
                <c:pt idx="1">
                  <c:v>-1.5420780488730677</c:v>
                </c:pt>
                <c:pt idx="2">
                  <c:v>-2.9672960684814473</c:v>
                </c:pt>
                <c:pt idx="3">
                  <c:v>-3.9229540740779631</c:v>
                </c:pt>
                <c:pt idx="4">
                  <c:v>-4.5126720748214719</c:v>
                </c:pt>
                <c:pt idx="5">
                  <c:v>-4.7937500748783348</c:v>
                </c:pt>
                <c:pt idx="6">
                  <c:v>-4.7745280745239267</c:v>
                </c:pt>
                <c:pt idx="7">
                  <c:v>-4.4117460712441208</c:v>
                </c:pt>
                <c:pt idx="8">
                  <c:v>-3.607904060836792</c:v>
                </c:pt>
                <c:pt idx="9">
                  <c:v>-2.2086220385133029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63-434B-8514-600856EC4865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(Parametrique!$I$3,Parametrique!$I$6,Parametrique!$I$9,Parametrique!$I$12,Parametrique!$I$15,Parametrique!$I$18)</c:f>
              <c:numCache>
                <c:formatCode>0.000</c:formatCode>
                <c:ptCount val="6"/>
                <c:pt idx="0">
                  <c:v>0</c:v>
                </c:pt>
                <c:pt idx="1">
                  <c:v>24.750000005587935</c:v>
                </c:pt>
                <c:pt idx="2">
                  <c:v>44.54999882988632</c:v>
                </c:pt>
                <c:pt idx="3">
                  <c:v>54.450001192465422</c:v>
                </c:pt>
                <c:pt idx="4">
                  <c:v>79.200001198053357</c:v>
                </c:pt>
                <c:pt idx="5">
                  <c:v>99.000000022351742</c:v>
                </c:pt>
              </c:numCache>
            </c:numRef>
          </c:xVal>
          <c:yVal>
            <c:numRef>
              <c:f>(Parametrique!$I$4,Parametrique!$I$7,Parametrique!$I$10,Parametrique!$I$13,Parametrique!$I$16,Parametrique!$I$19)</c:f>
              <c:numCache>
                <c:formatCode>0.000</c:formatCode>
                <c:ptCount val="6"/>
                <c:pt idx="0">
                  <c:v>0.5</c:v>
                </c:pt>
                <c:pt idx="1">
                  <c:v>-4.3200001406669628</c:v>
                </c:pt>
                <c:pt idx="2">
                  <c:v>-5.1300000262260426</c:v>
                </c:pt>
                <c:pt idx="3">
                  <c:v>-5.4000000953674316</c:v>
                </c:pt>
                <c:pt idx="4" formatCode="General">
                  <c:v>-5.4000000953674316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63-434B-8514-600856EC4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66191"/>
        <c:axId val="1"/>
      </c:scatterChart>
      <c:valAx>
        <c:axId val="893966191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50"/>
          <c:min val="-50"/>
        </c:scaling>
        <c:delete val="0"/>
        <c:axPos val="l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6619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94110774328412"/>
          <c:y val="0.10662128966642305"/>
          <c:w val="0.74470553871642065"/>
          <c:h val="0.79046818200968816"/>
        </c:manualLayout>
      </c:layout>
      <c:scatterChart>
        <c:scatterStyle val="smoothMarker"/>
        <c:varyColors val="0"/>
        <c:ser>
          <c:idx val="0"/>
          <c:order val="0"/>
          <c:tx>
            <c:v>G1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Parametrique!$K$28:$K$38</c:f>
              <c:numCache>
                <c:formatCode>0.00</c:formatCode>
                <c:ptCount val="11"/>
                <c:pt idx="0">
                  <c:v>0</c:v>
                </c:pt>
                <c:pt idx="1">
                  <c:v>2.2589400118124492</c:v>
                </c:pt>
                <c:pt idx="2">
                  <c:v>4.174079991760256</c:v>
                </c:pt>
                <c:pt idx="3">
                  <c:v>5.7004199586188777</c:v>
                </c:pt>
                <c:pt idx="4">
                  <c:v>6.8505599251556415</c:v>
                </c:pt>
                <c:pt idx="5">
                  <c:v>7.6874998994171619</c:v>
                </c:pt>
                <c:pt idx="6">
                  <c:v>8.3174398860168477</c:v>
                </c:pt>
                <c:pt idx="7">
                  <c:v>8.8825798874223238</c:v>
                </c:pt>
                <c:pt idx="8">
                  <c:v>9.5539199052429211</c:v>
                </c:pt>
                <c:pt idx="9">
                  <c:v>10.524059941517116</c:v>
                </c:pt>
                <c:pt idx="10">
                  <c:v>12</c:v>
                </c:pt>
              </c:numCache>
            </c:numRef>
          </c:xVal>
          <c:yVal>
            <c:numRef>
              <c:f>Parametrique!$K$41:$K$51</c:f>
              <c:numCache>
                <c:formatCode>0.00</c:formatCode>
                <c:ptCount val="11"/>
                <c:pt idx="0">
                  <c:v>0.5</c:v>
                </c:pt>
                <c:pt idx="1">
                  <c:v>0.56116250091027475</c:v>
                </c:pt>
                <c:pt idx="2">
                  <c:v>0.69920000293254891</c:v>
                </c:pt>
                <c:pt idx="3">
                  <c:v>0.87023750524539478</c:v>
                </c:pt>
                <c:pt idx="4">
                  <c:v>1.0664000072956088</c:v>
                </c:pt>
                <c:pt idx="5">
                  <c:v>1.3203125087311491</c:v>
                </c:pt>
                <c:pt idx="6">
                  <c:v>1.7096000093340875</c:v>
                </c:pt>
                <c:pt idx="7">
                  <c:v>2.3613875089535483</c:v>
                </c:pt>
                <c:pt idx="8">
                  <c:v>3.4568000074386611</c:v>
                </c:pt>
                <c:pt idx="9">
                  <c:v>5.2354625045714913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8F-4512-9956-B4D65B329D22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(Parametrique!$J$3,Parametrique!$J$6,Parametrique!$J$9,Parametrique!$J$12,Parametrique!$J$15,Parametrique!$J$18)</c:f>
              <c:numCache>
                <c:formatCode>0.000</c:formatCode>
                <c:ptCount val="6"/>
                <c:pt idx="0">
                  <c:v>0</c:v>
                </c:pt>
                <c:pt idx="1">
                  <c:v>4.8000000715255737</c:v>
                </c:pt>
                <c:pt idx="2">
                  <c:v>8.3999998569488525</c:v>
                </c:pt>
                <c:pt idx="3">
                  <c:v>8.3999998569488525</c:v>
                </c:pt>
                <c:pt idx="4">
                  <c:v>8.3999998569488525</c:v>
                </c:pt>
                <c:pt idx="5">
                  <c:v>12</c:v>
                </c:pt>
              </c:numCache>
            </c:numRef>
          </c:xVal>
          <c:yVal>
            <c:numRef>
              <c:f>(Parametrique!$J$4,Parametrique!$J$7,Parametrique!$J$10,Parametrique!$J$13,Parametrique!$J$16,Parametrique!$J$19)</c:f>
              <c:numCache>
                <c:formatCode>0.000</c:formatCode>
                <c:ptCount val="6"/>
                <c:pt idx="0">
                  <c:v>0.5</c:v>
                </c:pt>
                <c:pt idx="1">
                  <c:v>0.5</c:v>
                </c:pt>
                <c:pt idx="2">
                  <c:v>1.2500000111758709</c:v>
                </c:pt>
                <c:pt idx="3">
                  <c:v>1.2500000111758709</c:v>
                </c:pt>
                <c:pt idx="4">
                  <c:v>1.2500000111758709</c:v>
                </c:pt>
                <c:pt idx="5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8F-4512-9956-B4D65B329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67631"/>
        <c:axId val="1"/>
      </c:scatterChart>
      <c:valAx>
        <c:axId val="893967631"/>
        <c:scaling>
          <c:orientation val="minMax"/>
          <c:max val="17.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"/>
          <c:min val="-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6763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84591072777771"/>
          <c:y val="0.10545841720966058"/>
          <c:w val="0.77572932788611071"/>
          <c:h val="0.79275637764503482"/>
        </c:manualLayout>
      </c:layout>
      <c:scatterChart>
        <c:scatterStyle val="smoothMarker"/>
        <c:varyColors val="0"/>
        <c:ser>
          <c:idx val="0"/>
          <c:order val="0"/>
          <c:tx>
            <c:v>G2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Parametrique!$L$28:$L$38</c:f>
              <c:numCache>
                <c:formatCode>0.00</c:formatCode>
                <c:ptCount val="11"/>
                <c:pt idx="0">
                  <c:v>0</c:v>
                </c:pt>
                <c:pt idx="1">
                  <c:v>2.2792931750205949</c:v>
                </c:pt>
                <c:pt idx="2">
                  <c:v>4.3404172675408077</c:v>
                </c:pt>
                <c:pt idx="3">
                  <c:v>6.086873018783411</c:v>
                </c:pt>
                <c:pt idx="4">
                  <c:v>7.4876835973243443</c:v>
                </c:pt>
                <c:pt idx="5">
                  <c:v>8.5672620299393838</c:v>
                </c:pt>
                <c:pt idx="6">
                  <c:v>9.395278632450875</c:v>
                </c:pt>
                <c:pt idx="7">
                  <c:v>10.076528440574416</c:v>
                </c:pt>
                <c:pt idx="8">
                  <c:v>10.740798640765579</c:v>
                </c:pt>
                <c:pt idx="9">
                  <c:v>11.532736001066588</c:v>
                </c:pt>
                <c:pt idx="10">
                  <c:v>12.601714301953042</c:v>
                </c:pt>
              </c:numCache>
            </c:numRef>
          </c:xVal>
          <c:yVal>
            <c:numRef>
              <c:f>Parametrique!$L$41:$L$51</c:f>
              <c:numCache>
                <c:formatCode>0.00</c:formatCode>
                <c:ptCount val="11"/>
                <c:pt idx="0">
                  <c:v>-1.2417417590049191</c:v>
                </c:pt>
                <c:pt idx="1">
                  <c:v>-1.147832119798702</c:v>
                </c:pt>
                <c:pt idx="2">
                  <c:v>-0.9102428280581486</c:v>
                </c:pt>
                <c:pt idx="3">
                  <c:v>-0.57470896384550241</c:v>
                </c:pt>
                <c:pt idx="4">
                  <c:v>-0.15663322381838771</c:v>
                </c:pt>
                <c:pt idx="5">
                  <c:v>0.36270562676779949</c:v>
                </c:pt>
                <c:pt idx="6">
                  <c:v>1.0399443020574939</c:v>
                </c:pt>
                <c:pt idx="7">
                  <c:v>1.9734265435925655</c:v>
                </c:pt>
                <c:pt idx="8">
                  <c:v>3.3069946683099296</c:v>
                </c:pt>
                <c:pt idx="9">
                  <c:v>5.2337811165391379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51-4887-8C1D-4BBAD2C8DDE6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(Parametrique!$K$3,Parametrique!$K$6,Parametrique!$K$9,Parametrique!$K$12,Parametrique!$K$15,Parametrique!$K$18)</c:f>
              <c:numCache>
                <c:formatCode>0.000</c:formatCode>
                <c:ptCount val="6"/>
                <c:pt idx="0">
                  <c:v>0</c:v>
                </c:pt>
                <c:pt idx="1">
                  <c:v>4.6756083520188607</c:v>
                </c:pt>
                <c:pt idx="2">
                  <c:v>9.0853977489292745</c:v>
                </c:pt>
                <c:pt idx="3">
                  <c:v>9.687453260310896</c:v>
                </c:pt>
                <c:pt idx="4">
                  <c:v>10.088823760722248</c:v>
                </c:pt>
                <c:pt idx="5">
                  <c:v>12.601714301953042</c:v>
                </c:pt>
              </c:numCache>
            </c:numRef>
          </c:xVal>
          <c:yVal>
            <c:numRef>
              <c:f>(Parametrique!$K$4,Parametrique!$K$7,Parametrique!$K$10,Parametrique!$K$13,Parametrique!$K$16,Parametrique!$K$19)</c:f>
              <c:numCache>
                <c:formatCode>0.000</c:formatCode>
                <c:ptCount val="6"/>
                <c:pt idx="0">
                  <c:v>-1.2417417590049191</c:v>
                </c:pt>
                <c:pt idx="1">
                  <c:v>-1.2417417590049191</c:v>
                </c:pt>
                <c:pt idx="2">
                  <c:v>-0.17144278874085428</c:v>
                </c:pt>
                <c:pt idx="3">
                  <c:v>0.55918104889780751</c:v>
                </c:pt>
                <c:pt idx="4">
                  <c:v>1.4359296018059129</c:v>
                </c:pt>
                <c:pt idx="5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51-4887-8C1D-4BBAD2C8D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65711"/>
        <c:axId val="1"/>
      </c:scatterChart>
      <c:valAx>
        <c:axId val="893965711"/>
        <c:scaling>
          <c:orientation val="minMax"/>
          <c:max val="17.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"/>
          <c:min val="-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6571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5403116895354"/>
          <c:y val="0.10507640046791686"/>
          <c:w val="0.76082693754532393"/>
          <c:h val="0.79350798974047576"/>
        </c:manualLayout>
      </c:layout>
      <c:scatterChart>
        <c:scatterStyle val="smoothMarker"/>
        <c:varyColors val="0"/>
        <c:ser>
          <c:idx val="0"/>
          <c:order val="0"/>
          <c:tx>
            <c:v>G3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Parametrique!$M$28:$M$38</c:f>
              <c:numCache>
                <c:formatCode>0.00</c:formatCode>
                <c:ptCount val="11"/>
                <c:pt idx="0">
                  <c:v>0</c:v>
                </c:pt>
                <c:pt idx="1">
                  <c:v>2.2902182547484875</c:v>
                </c:pt>
                <c:pt idx="2">
                  <c:v>4.4185196354266845</c:v>
                </c:pt>
                <c:pt idx="3">
                  <c:v>6.2651468474435461</c:v>
                </c:pt>
                <c:pt idx="4">
                  <c:v>7.779396013016231</c:v>
                </c:pt>
                <c:pt idx="5">
                  <c:v>8.9681193935294612</c:v>
                </c:pt>
                <c:pt idx="6">
                  <c:v>9.8842281118949487</c:v>
                </c:pt>
                <c:pt idx="7">
                  <c:v>10.615194874910761</c:v>
                </c:pt>
                <c:pt idx="8">
                  <c:v>11.271556695620738</c:v>
                </c:pt>
                <c:pt idx="9">
                  <c:v>11.975417615673846</c:v>
                </c:pt>
                <c:pt idx="10">
                  <c:v>12.848951427683611</c:v>
                </c:pt>
              </c:numCache>
            </c:numRef>
          </c:xVal>
          <c:yVal>
            <c:numRef>
              <c:f>Parametrique!$M$41:$M$51</c:f>
              <c:numCache>
                <c:formatCode>0.00</c:formatCode>
                <c:ptCount val="11"/>
                <c:pt idx="0">
                  <c:v>-2.6350863130002997</c:v>
                </c:pt>
                <c:pt idx="1">
                  <c:v>-2.5181793764625469</c:v>
                </c:pt>
                <c:pt idx="2">
                  <c:v>-2.212597202584738</c:v>
                </c:pt>
                <c:pt idx="3">
                  <c:v>-1.7670000076312449</c:v>
                </c:pt>
                <c:pt idx="4">
                  <c:v>-1.2018291375781704</c:v>
                </c:pt>
                <c:pt idx="5">
                  <c:v>-0.50577970915100601</c:v>
                </c:pt>
                <c:pt idx="6">
                  <c:v>0.36772674913769021</c:v>
                </c:pt>
                <c:pt idx="7">
                  <c:v>1.5040696559506288</c:v>
                </c:pt>
                <c:pt idx="8">
                  <c:v>3.030956736088124</c:v>
                </c:pt>
                <c:pt idx="9">
                  <c:v>5.1219513794504117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A6-45D8-BC81-A1DC840FF481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(Parametrique!$L$3,Parametrique!$L$6,Parametrique!$L$9,Parametrique!$L$12,Parametrique!$L$15,Parametrique!$L$18)</c:f>
              <c:numCache>
                <c:formatCode>0.000</c:formatCode>
                <c:ptCount val="6"/>
                <c:pt idx="0">
                  <c:v>0</c:v>
                </c:pt>
                <c:pt idx="1">
                  <c:v>4.6233895677128967</c:v>
                </c:pt>
                <c:pt idx="2">
                  <c:v>9.400381388569631</c:v>
                </c:pt>
                <c:pt idx="3">
                  <c:v>10.273347867996975</c:v>
                </c:pt>
                <c:pt idx="4">
                  <c:v>10.855325752205717</c:v>
                </c:pt>
                <c:pt idx="5">
                  <c:v>12.848951427683611</c:v>
                </c:pt>
              </c:numCache>
            </c:numRef>
          </c:xVal>
          <c:yVal>
            <c:numRef>
              <c:f>(Parametrique!$L$4,Parametrique!$L$7,Parametrique!$L$10,Parametrique!$L$13,Parametrique!$L$16,Parametrique!$L$19)</c:f>
              <c:numCache>
                <c:formatCode>0.000</c:formatCode>
                <c:ptCount val="6"/>
                <c:pt idx="0">
                  <c:v>-2.6350863130002997</c:v>
                </c:pt>
                <c:pt idx="1">
                  <c:v>-2.6350863130002997</c:v>
                </c:pt>
                <c:pt idx="2">
                  <c:v>-1.3337698851666229</c:v>
                </c:pt>
                <c:pt idx="3">
                  <c:v>-0.1447310880443089</c:v>
                </c:pt>
                <c:pt idx="4">
                  <c:v>1.2821153834557855</c:v>
                </c:pt>
                <c:pt idx="5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A6-45D8-BC81-A1DC840FF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60431"/>
        <c:axId val="1"/>
      </c:scatterChart>
      <c:valAx>
        <c:axId val="893960431"/>
        <c:scaling>
          <c:orientation val="minMax"/>
          <c:max val="17.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"/>
          <c:min val="-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6043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05307557024542"/>
          <c:y val="0.10584320806037469"/>
          <c:w val="0.78051398442816244"/>
          <c:h val="0.79199917755521754"/>
        </c:manualLayout>
      </c:layout>
      <c:scatterChart>
        <c:scatterStyle val="smoothMarker"/>
        <c:varyColors val="0"/>
        <c:ser>
          <c:idx val="0"/>
          <c:order val="0"/>
          <c:tx>
            <c:v>G4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Parametrique!$N$28:$N$38</c:f>
              <c:numCache>
                <c:formatCode>0.00</c:formatCode>
                <c:ptCount val="11"/>
                <c:pt idx="0">
                  <c:v>0</c:v>
                </c:pt>
                <c:pt idx="1">
                  <c:v>2.2440812280289464</c:v>
                </c:pt>
                <c:pt idx="2">
                  <c:v>4.3741669555635676</c:v>
                </c:pt>
                <c:pt idx="3">
                  <c:v>6.2551519072428956</c:v>
                </c:pt>
                <c:pt idx="4">
                  <c:v>7.8221106150292412</c:v>
                </c:pt>
                <c:pt idx="5">
                  <c:v>9.0680110524939561</c:v>
                </c:pt>
                <c:pt idx="6">
                  <c:v>10.031428269103293</c:v>
                </c:pt>
                <c:pt idx="7">
                  <c:v>10.784258024504172</c:v>
                </c:pt>
                <c:pt idx="8">
                  <c:v>11.419430422810029</c:v>
                </c:pt>
                <c:pt idx="9">
                  <c:v>12.038623546886583</c:v>
                </c:pt>
                <c:pt idx="10">
                  <c:v>12.739977092637686</c:v>
                </c:pt>
              </c:numCache>
            </c:numRef>
          </c:xVal>
          <c:yVal>
            <c:numRef>
              <c:f>Parametrique!$N$41:$N$51</c:f>
              <c:numCache>
                <c:formatCode>0.00</c:formatCode>
                <c:ptCount val="11"/>
                <c:pt idx="0">
                  <c:v>-3.6955143088737241</c:v>
                </c:pt>
                <c:pt idx="1">
                  <c:v>-3.5594919694649385</c:v>
                </c:pt>
                <c:pt idx="2">
                  <c:v>-3.1962918295428486</c:v>
                </c:pt>
                <c:pt idx="3">
                  <c:v>-2.6560758459283282</c:v>
                </c:pt>
                <c:pt idx="4">
                  <c:v>-1.9636158112953785</c:v>
                </c:pt>
                <c:pt idx="5">
                  <c:v>-1.1151195833800487</c:v>
                </c:pt>
                <c:pt idx="6">
                  <c:v>-7.5057314189388435E-2</c:v>
                </c:pt>
                <c:pt idx="7">
                  <c:v>1.2270123207896135</c:v>
                </c:pt>
                <c:pt idx="8">
                  <c:v>2.899615893381096</c:v>
                </c:pt>
                <c:pt idx="9">
                  <c:v>5.0925389935113712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9-4BE7-B0B9-71B01771CC76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(Parametrique!$M$3,Parametrique!$M$6,Parametrique!$M$9,Parametrique!$M$12,Parametrique!$M$15,Parametrique!$M$18)</c:f>
              <c:numCache>
                <c:formatCode>0.000</c:formatCode>
                <c:ptCount val="6"/>
                <c:pt idx="0">
                  <c:v>0</c:v>
                </c:pt>
                <c:pt idx="1">
                  <c:v>4.4720833230309376</c:v>
                </c:pt>
                <c:pt idx="2">
                  <c:v>9.4225661611024467</c:v>
                </c:pt>
                <c:pt idx="3">
                  <c:v>10.486846408453154</c:v>
                </c:pt>
                <c:pt idx="4">
                  <c:v>11.196366855291652</c:v>
                </c:pt>
                <c:pt idx="5">
                  <c:v>12.739977092637686</c:v>
                </c:pt>
              </c:numCache>
            </c:numRef>
          </c:xVal>
          <c:yVal>
            <c:numRef>
              <c:f>(Parametrique!$M$4,Parametrique!$M$7,Parametrique!$M$10,Parametrique!$M$13,Parametrique!$M$16,Parametrique!$M$19)</c:f>
              <c:numCache>
                <c:formatCode>0.000</c:formatCode>
                <c:ptCount val="6"/>
                <c:pt idx="0">
                  <c:v>-3.6955143088737241</c:v>
                </c:pt>
                <c:pt idx="1">
                  <c:v>-3.6955143088737241</c:v>
                </c:pt>
                <c:pt idx="2">
                  <c:v>-2.2056679814923572</c:v>
                </c:pt>
                <c:pt idx="3">
                  <c:v>-0.60419372934371163</c:v>
                </c:pt>
                <c:pt idx="4">
                  <c:v>1.3175752586882972</c:v>
                </c:pt>
                <c:pt idx="5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A9-4BE7-B0B9-71B01771C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55631"/>
        <c:axId val="1"/>
      </c:scatterChart>
      <c:valAx>
        <c:axId val="893955631"/>
        <c:scaling>
          <c:orientation val="minMax"/>
          <c:max val="17.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"/>
          <c:min val="-9.5"/>
        </c:scaling>
        <c:delete val="0"/>
        <c:axPos val="l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5563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5403116895354"/>
          <c:y val="0.10507640046791686"/>
          <c:w val="0.76082693754532393"/>
          <c:h val="0.79350798974047576"/>
        </c:manualLayout>
      </c:layout>
      <c:scatterChart>
        <c:scatterStyle val="smoothMarker"/>
        <c:varyColors val="0"/>
        <c:ser>
          <c:idx val="0"/>
          <c:order val="0"/>
          <c:tx>
            <c:v>G5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Parametrique!$O$28:$O$38</c:f>
              <c:numCache>
                <c:formatCode>0.00</c:formatCode>
                <c:ptCount val="11"/>
                <c:pt idx="0">
                  <c:v>0</c:v>
                </c:pt>
                <c:pt idx="1">
                  <c:v>2.1358550578351494</c:v>
                </c:pt>
                <c:pt idx="2">
                  <c:v>4.2001142651568806</c:v>
                </c:pt>
                <c:pt idx="3">
                  <c:v>6.0495320955966179</c:v>
                </c:pt>
                <c:pt idx="4">
                  <c:v>7.6097669759181468</c:v>
                </c:pt>
                <c:pt idx="5">
                  <c:v>8.8628585159736417</c:v>
                </c:pt>
                <c:pt idx="6">
                  <c:v>9.8347047386597684</c:v>
                </c:pt>
                <c:pt idx="7">
                  <c:v>10.582539309873704</c:v>
                </c:pt>
                <c:pt idx="8">
                  <c:v>11.182408768469234</c:v>
                </c:pt>
                <c:pt idx="9">
                  <c:v>11.716649756212778</c:v>
                </c:pt>
                <c:pt idx="10">
                  <c:v>12.261366247739474</c:v>
                </c:pt>
              </c:numCache>
            </c:numRef>
          </c:xVal>
          <c:yVal>
            <c:numRef>
              <c:f>Parametrique!$O$41:$O$51</c:f>
              <c:numCache>
                <c:formatCode>0.00</c:formatCode>
                <c:ptCount val="11"/>
                <c:pt idx="0">
                  <c:v>-4.4167645045914155</c:v>
                </c:pt>
                <c:pt idx="1">
                  <c:v>-4.2656781746146342</c:v>
                </c:pt>
                <c:pt idx="2">
                  <c:v>-3.8557813929392135</c:v>
                </c:pt>
                <c:pt idx="3">
                  <c:v>-3.2373310408391394</c:v>
                </c:pt>
                <c:pt idx="4">
                  <c:v>-2.4386781754040285</c:v>
                </c:pt>
                <c:pt idx="5">
                  <c:v>-1.4635298011559992</c:v>
                </c:pt>
                <c:pt idx="6">
                  <c:v>-0.2882106416665744</c:v>
                </c:pt>
                <c:pt idx="7">
                  <c:v>1.1410750888264376</c:v>
                </c:pt>
                <c:pt idx="8">
                  <c:v>2.9109819138020585</c:v>
                </c:pt>
                <c:pt idx="9">
                  <c:v>5.1437613228392411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34-41EC-9043-9186C9FD90EC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(Parametrique!$N$3,Parametrique!$N$6,Parametrique!$N$9,Parametrique!$N$12,Parametrique!$N$15,Parametrique!$N$18)</c:f>
              <c:numCache>
                <c:formatCode>0.000</c:formatCode>
                <c:ptCount val="6"/>
                <c:pt idx="0">
                  <c:v>0</c:v>
                </c:pt>
                <c:pt idx="1">
                  <c:v>4.2083478640209151</c:v>
                </c:pt>
                <c:pt idx="2">
                  <c:v>9.142932101023959</c:v>
                </c:pt>
                <c:pt idx="3">
                  <c:v>10.328480983609266</c:v>
                </c:pt>
                <c:pt idx="4">
                  <c:v>11.118847219396052</c:v>
                </c:pt>
                <c:pt idx="5">
                  <c:v>12.261366247739474</c:v>
                </c:pt>
              </c:numCache>
            </c:numRef>
          </c:xVal>
          <c:yVal>
            <c:numRef>
              <c:f>(Parametrique!$N$4,Parametrique!$N$7,Parametrique!$N$10,Parametrique!$N$13,Parametrique!$N$16,Parametrique!$N$19)</c:f>
              <c:numCache>
                <c:formatCode>0.000</c:formatCode>
                <c:ptCount val="6"/>
                <c:pt idx="0">
                  <c:v>-4.4167645045914155</c:v>
                </c:pt>
                <c:pt idx="1">
                  <c:v>-4.4167645045914155</c:v>
                </c:pt>
                <c:pt idx="2">
                  <c:v>-2.7824354304795662</c:v>
                </c:pt>
                <c:pt idx="3">
                  <c:v>-0.81917258025751005</c:v>
                </c:pt>
                <c:pt idx="4">
                  <c:v>1.5367426995854565</c:v>
                </c:pt>
                <c:pt idx="5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34-41EC-9043-9186C9FD9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64271"/>
        <c:axId val="1"/>
      </c:scatterChart>
      <c:valAx>
        <c:axId val="893964271"/>
        <c:scaling>
          <c:orientation val="minMax"/>
          <c:max val="17.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"/>
          <c:min val="-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6427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25471906939401"/>
          <c:y val="0.10469715485940001"/>
          <c:w val="0.77502786498118381"/>
          <c:h val="0.7942542782437243"/>
        </c:manualLayout>
      </c:layout>
      <c:scatterChart>
        <c:scatterStyle val="smoothMarker"/>
        <c:varyColors val="0"/>
        <c:ser>
          <c:idx val="0"/>
          <c:order val="0"/>
          <c:tx>
            <c:v>G6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Parametrique!$P$28:$P$38</c:f>
              <c:numCache>
                <c:formatCode>0.00</c:formatCode>
                <c:ptCount val="11"/>
                <c:pt idx="0">
                  <c:v>0</c:v>
                </c:pt>
                <c:pt idx="1">
                  <c:v>1.9587622790792913</c:v>
                </c:pt>
                <c:pt idx="2">
                  <c:v>3.8824562893916248</c:v>
                </c:pt>
                <c:pt idx="3">
                  <c:v>5.6275878082065658</c:v>
                </c:pt>
                <c:pt idx="4">
                  <c:v>7.1156366825828776</c:v>
                </c:pt>
                <c:pt idx="5">
                  <c:v>8.3209029798633569</c:v>
                </c:pt>
                <c:pt idx="6">
                  <c:v>9.2583531381697259</c:v>
                </c:pt>
                <c:pt idx="7">
                  <c:v>9.9714661168974779</c:v>
                </c:pt>
                <c:pt idx="8">
                  <c:v>10.520079547210763</c:v>
                </c:pt>
                <c:pt idx="9">
                  <c:v>10.968235882537233</c:v>
                </c:pt>
                <c:pt idx="10">
                  <c:v>11.372028549062913</c:v>
                </c:pt>
              </c:numCache>
            </c:numRef>
          </c:xVal>
          <c:yVal>
            <c:numRef>
              <c:f>Parametrique!$P$41:$P$51</c:f>
              <c:numCache>
                <c:formatCode>0.00</c:formatCode>
                <c:ptCount val="11"/>
                <c:pt idx="0">
                  <c:v>-4.7808712858580069</c:v>
                </c:pt>
                <c:pt idx="1">
                  <c:v>-4.6193007141577889</c:v>
                </c:pt>
                <c:pt idx="2">
                  <c:v>-4.1753490740934911</c:v>
                </c:pt>
                <c:pt idx="3">
                  <c:v>-3.4980277625996936</c:v>
                </c:pt>
                <c:pt idx="4">
                  <c:v>-2.6183797086395462</c:v>
                </c:pt>
                <c:pt idx="5">
                  <c:v>-1.5472333142737198</c:v>
                </c:pt>
                <c:pt idx="6">
                  <c:v>-0.27295639572938635</c:v>
                </c:pt>
                <c:pt idx="7">
                  <c:v>1.2407898755308175</c:v>
                </c:pt>
                <c:pt idx="8">
                  <c:v>3.0572970317398265</c:v>
                </c:pt>
                <c:pt idx="9">
                  <c:v>5.269055367757165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EB-40D9-BDC4-26A4EBFFD972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(Parametrique!$O$3,Parametrique!$O$6,Parametrique!$O$9,Parametrique!$O$12,Parametrique!$O$15,Parametrique!$O$18)</c:f>
              <c:numCache>
                <c:formatCode>0.000</c:formatCode>
                <c:ptCount val="6"/>
                <c:pt idx="0">
                  <c:v>0</c:v>
                </c:pt>
                <c:pt idx="1">
                  <c:v>3.8195814370752741</c:v>
                </c:pt>
                <c:pt idx="2">
                  <c:v>8.5297315034397254</c:v>
                </c:pt>
                <c:pt idx="3">
                  <c:v>9.7600407982901682</c:v>
                </c:pt>
                <c:pt idx="4">
                  <c:v>10.580247320777842</c:v>
                </c:pt>
                <c:pt idx="5">
                  <c:v>11.372028549062913</c:v>
                </c:pt>
              </c:numCache>
            </c:numRef>
          </c:xVal>
          <c:yVal>
            <c:numRef>
              <c:f>(Parametrique!$O$4,Parametrique!$O$7,Parametrique!$O$10,Parametrique!$O$13,Parametrique!$O$16,Parametrique!$O$19)</c:f>
              <c:numCache>
                <c:formatCode>0.000</c:formatCode>
                <c:ptCount val="6"/>
                <c:pt idx="0">
                  <c:v>-4.7808712858580069</c:v>
                </c:pt>
                <c:pt idx="1">
                  <c:v>-4.7808712858580069</c:v>
                </c:pt>
                <c:pt idx="2">
                  <c:v>-3.0509120600415844</c:v>
                </c:pt>
                <c:pt idx="3">
                  <c:v>-0.79155187111592751</c:v>
                </c:pt>
                <c:pt idx="4">
                  <c:v>1.9196801939928259</c:v>
                </c:pt>
                <c:pt idx="5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EB-40D9-BDC4-26A4EBFFD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61391"/>
        <c:axId val="1"/>
      </c:scatterChart>
      <c:valAx>
        <c:axId val="893961391"/>
        <c:scaling>
          <c:orientation val="minMax"/>
          <c:max val="17.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"/>
          <c:min val="-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6139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07717161972363"/>
          <c:y val="0.10469715485940001"/>
          <c:w val="0.76161308267943895"/>
          <c:h val="0.7942542782437243"/>
        </c:manualLayout>
      </c:layout>
      <c:scatterChart>
        <c:scatterStyle val="smoothMarker"/>
        <c:varyColors val="0"/>
        <c:ser>
          <c:idx val="0"/>
          <c:order val="0"/>
          <c:tx>
            <c:v>G7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Parametrique!$Q$28:$Q$38</c:f>
              <c:numCache>
                <c:formatCode>0.00</c:formatCode>
                <c:ptCount val="11"/>
                <c:pt idx="0">
                  <c:v>0</c:v>
                </c:pt>
                <c:pt idx="1">
                  <c:v>1.7051578520770123</c:v>
                </c:pt>
                <c:pt idx="2">
                  <c:v>3.4044296718658091</c:v>
                </c:pt>
                <c:pt idx="3">
                  <c:v>4.9631563495873436</c:v>
                </c:pt>
                <c:pt idx="4">
                  <c:v>6.3047126051134654</c:v>
                </c:pt>
                <c:pt idx="5">
                  <c:v>7.3994055580197875</c:v>
                </c:pt>
                <c:pt idx="6">
                  <c:v>8.2533732976386034</c:v>
                </c:pt>
                <c:pt idx="7">
                  <c:v>8.8974834531117555</c:v>
                </c:pt>
                <c:pt idx="8">
                  <c:v>9.3762317634435437</c:v>
                </c:pt>
                <c:pt idx="9">
                  <c:v>9.7366406475535889</c:v>
                </c:pt>
                <c:pt idx="10">
                  <c:v>10.017157774329755</c:v>
                </c:pt>
              </c:numCache>
            </c:numRef>
          </c:xVal>
          <c:yVal>
            <c:numRef>
              <c:f>Parametrique!$Q$41:$Q$51</c:f>
              <c:numCache>
                <c:formatCode>0.00</c:formatCode>
                <c:ptCount val="11"/>
                <c:pt idx="0">
                  <c:v>-4.7707124581508547</c:v>
                </c:pt>
                <c:pt idx="1">
                  <c:v>-4.6038015927686748</c:v>
                </c:pt>
                <c:pt idx="2">
                  <c:v>-4.1402973845265869</c:v>
                </c:pt>
                <c:pt idx="3">
                  <c:v>-3.4267158765093506</c:v>
                </c:pt>
                <c:pt idx="4">
                  <c:v>-2.495756016887416</c:v>
                </c:pt>
                <c:pt idx="5">
                  <c:v>-1.3645725215605637</c:v>
                </c:pt>
                <c:pt idx="6">
                  <c:v>-3.3048736801580714E-2</c:v>
                </c:pt>
                <c:pt idx="7">
                  <c:v>1.5179304981000863</c:v>
                </c:pt>
                <c:pt idx="8">
                  <c:v>3.3282059881946755</c:v>
                </c:pt>
                <c:pt idx="9">
                  <c:v>5.4600713202284386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C3-4270-87C8-A0BDC06C05E3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(Parametrique!$P$3,Parametrique!$P$6,Parametrique!$P$9,Parametrique!$P$12,Parametrique!$P$15,Parametrique!$P$18)</c:f>
              <c:numCache>
                <c:formatCode>0.000</c:formatCode>
                <c:ptCount val="6"/>
                <c:pt idx="0">
                  <c:v>0</c:v>
                </c:pt>
                <c:pt idx="1">
                  <c:v>3.292971509785255</c:v>
                </c:pt>
                <c:pt idx="2">
                  <c:v>7.5420527510375139</c:v>
                </c:pt>
                <c:pt idx="3">
                  <c:v>8.7282877793764726</c:v>
                </c:pt>
                <c:pt idx="4">
                  <c:v>9.5191114458474591</c:v>
                </c:pt>
                <c:pt idx="5">
                  <c:v>10.017157774329755</c:v>
                </c:pt>
              </c:numCache>
            </c:numRef>
          </c:xVal>
          <c:yVal>
            <c:numRef>
              <c:f>(Parametrique!$P$4,Parametrique!$P$7,Parametrique!$P$10,Parametrique!$P$13,Parametrique!$P$16,Parametrique!$P$19)</c:f>
              <c:numCache>
                <c:formatCode>0.000</c:formatCode>
                <c:ptCount val="6"/>
                <c:pt idx="0">
                  <c:v>-4.7707124581508547</c:v>
                </c:pt>
                <c:pt idx="1">
                  <c:v>-4.7707124581508547</c:v>
                </c:pt>
                <c:pt idx="2">
                  <c:v>-2.9990335823883436</c:v>
                </c:pt>
                <c:pt idx="3">
                  <c:v>-0.52599574890725176</c:v>
                </c:pt>
                <c:pt idx="4">
                  <c:v>2.4416494743846089</c:v>
                </c:pt>
                <c:pt idx="5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C3-4270-87C8-A0BDC06C0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47471"/>
        <c:axId val="1"/>
      </c:scatterChart>
      <c:valAx>
        <c:axId val="893947471"/>
        <c:scaling>
          <c:orientation val="minMax"/>
          <c:max val="17.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"/>
          <c:min val="-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4747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8402315898632"/>
          <c:y val="0.10469715485940001"/>
          <c:w val="0.75344883213737868"/>
          <c:h val="0.7942542782437243"/>
        </c:manualLayout>
      </c:layout>
      <c:scatterChart>
        <c:scatterStyle val="smoothMarker"/>
        <c:varyColors val="0"/>
        <c:ser>
          <c:idx val="0"/>
          <c:order val="0"/>
          <c:tx>
            <c:v>G8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Parametrique!$R$28:$R$38</c:f>
              <c:numCache>
                <c:formatCode>0.00</c:formatCode>
                <c:ptCount val="11"/>
                <c:pt idx="0">
                  <c:v>0</c:v>
                </c:pt>
                <c:pt idx="1">
                  <c:v>1.369778222471904</c:v>
                </c:pt>
                <c:pt idx="2">
                  <c:v>2.7534266046795706</c:v>
                </c:pt>
                <c:pt idx="3">
                  <c:v>4.0354392975659117</c:v>
                </c:pt>
                <c:pt idx="4">
                  <c:v>5.1480726583198617</c:v>
                </c:pt>
                <c:pt idx="5">
                  <c:v>6.0620500384699136</c:v>
                </c:pt>
                <c:pt idx="6">
                  <c:v>6.7772665719777114</c:v>
                </c:pt>
                <c:pt idx="7">
                  <c:v>7.3134939633315765</c:v>
                </c:pt>
                <c:pt idx="8">
                  <c:v>7.7010852756400991</c:v>
                </c:pt>
                <c:pt idx="9">
                  <c:v>7.9716797187256692</c:v>
                </c:pt>
                <c:pt idx="10">
                  <c:v>8.1489074372180585</c:v>
                </c:pt>
              </c:numCache>
            </c:numRef>
          </c:xVal>
          <c:yVal>
            <c:numRef>
              <c:f>Parametrique!$R$41:$R$51</c:f>
              <c:numCache>
                <c:formatCode>0.00</c:formatCode>
                <c:ptCount val="11"/>
                <c:pt idx="0">
                  <c:v>-4.3677739133041573</c:v>
                </c:pt>
                <c:pt idx="1">
                  <c:v>-4.2012590499454321</c:v>
                </c:pt>
                <c:pt idx="2">
                  <c:v>-3.7346518292112409</c:v>
                </c:pt>
                <c:pt idx="3">
                  <c:v>-3.0108130123478665</c:v>
                </c:pt>
                <c:pt idx="4">
                  <c:v>-2.0629066301075212</c:v>
                </c:pt>
                <c:pt idx="5">
                  <c:v>-0.91318789090857333</c:v>
                </c:pt>
                <c:pt idx="6">
                  <c:v>0.42820891100419689</c:v>
                </c:pt>
                <c:pt idx="7">
                  <c:v>1.964482487399358</c:v>
                </c:pt>
                <c:pt idx="8">
                  <c:v>3.7133766478985875</c:v>
                </c:pt>
                <c:pt idx="9">
                  <c:v>5.7083923918164157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AF-41B6-9016-B913B8FF8624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(Parametrique!$Q$3,Parametrique!$Q$6,Parametrique!$Q$9,Parametrique!$Q$12,Parametrique!$Q$15,Parametrique!$Q$18)</c:f>
              <c:numCache>
                <c:formatCode>0.000</c:formatCode>
                <c:ptCount val="6"/>
                <c:pt idx="0">
                  <c:v>0</c:v>
                </c:pt>
                <c:pt idx="1">
                  <c:v>2.6210831979510711</c:v>
                </c:pt>
                <c:pt idx="2">
                  <c:v>6.1466866014374455</c:v>
                </c:pt>
                <c:pt idx="3">
                  <c:v>7.1865472227528562</c:v>
                </c:pt>
                <c:pt idx="4">
                  <c:v>7.8797879124321657</c:v>
                </c:pt>
                <c:pt idx="5">
                  <c:v>8.1489074372180585</c:v>
                </c:pt>
              </c:numCache>
            </c:numRef>
          </c:xVal>
          <c:yVal>
            <c:numRef>
              <c:f>(Parametrique!$Q$4,Parametrique!$Q$7,Parametrique!$Q$10,Parametrique!$Q$13,Parametrique!$Q$16,Parametrique!$Q$19)</c:f>
              <c:numCache>
                <c:formatCode>0.000</c:formatCode>
                <c:ptCount val="6"/>
                <c:pt idx="0">
                  <c:v>-4.3677739133041573</c:v>
                </c:pt>
                <c:pt idx="1">
                  <c:v>-4.3677739133041573</c:v>
                </c:pt>
                <c:pt idx="2">
                  <c:v>-2.6136153547632217</c:v>
                </c:pt>
                <c:pt idx="3">
                  <c:v>-2.6709842145096196E-2</c:v>
                </c:pt>
                <c:pt idx="4">
                  <c:v>3.077576587966754</c:v>
                </c:pt>
                <c:pt idx="5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AF-41B6-9016-B913B8FF8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48911"/>
        <c:axId val="1"/>
      </c:scatterChart>
      <c:valAx>
        <c:axId val="893948911"/>
        <c:scaling>
          <c:orientation val="minMax"/>
          <c:max val="17.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"/>
          <c:min val="-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4891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16240007028641"/>
          <c:y val="0.10211622583083635"/>
          <c:w val="0.76318278134062967"/>
          <c:h val="0.79932356081378819"/>
        </c:manualLayout>
      </c:layout>
      <c:scatterChart>
        <c:scatterStyle val="smoothMarker"/>
        <c:varyColors val="0"/>
        <c:ser>
          <c:idx val="0"/>
          <c:order val="0"/>
          <c:tx>
            <c:v>G9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Parametrique!$S$28:$S$38</c:f>
              <c:numCache>
                <c:formatCode>0.00</c:formatCode>
                <c:ptCount val="11"/>
                <c:pt idx="0">
                  <c:v>0</c:v>
                </c:pt>
                <c:pt idx="1">
                  <c:v>0.95972961020505543</c:v>
                </c:pt>
                <c:pt idx="2">
                  <c:v>1.9415525160217701</c:v>
                </c:pt>
                <c:pt idx="3">
                  <c:v>2.8596776400991786</c:v>
                </c:pt>
                <c:pt idx="4">
                  <c:v>3.6625628250367122</c:v>
                </c:pt>
                <c:pt idx="5">
                  <c:v>4.32616336995628</c:v>
                </c:pt>
                <c:pt idx="6">
                  <c:v>4.847180567074389</c:v>
                </c:pt>
                <c:pt idx="7">
                  <c:v>5.2363102382742293</c:v>
                </c:pt>
                <c:pt idx="8">
                  <c:v>5.5114912716777855</c:v>
                </c:pt>
                <c:pt idx="9">
                  <c:v>5.6911541582179215</c:v>
                </c:pt>
                <c:pt idx="10">
                  <c:v>5.7874695282104938</c:v>
                </c:pt>
              </c:numCache>
            </c:numRef>
          </c:xVal>
          <c:yVal>
            <c:numRef>
              <c:f>Parametrique!$S$41:$S$51</c:f>
              <c:numCache>
                <c:formatCode>0.00</c:formatCode>
                <c:ptCount val="11"/>
                <c:pt idx="0">
                  <c:v>-3.5296605546195075</c:v>
                </c:pt>
                <c:pt idx="1">
                  <c:v>-3.3702037238504925</c:v>
                </c:pt>
                <c:pt idx="2">
                  <c:v>-2.9198344652382962</c:v>
                </c:pt>
                <c:pt idx="3">
                  <c:v>-2.2166108401910893</c:v>
                </c:pt>
                <c:pt idx="4">
                  <c:v>-1.2927482590707806</c:v>
                </c:pt>
                <c:pt idx="5">
                  <c:v>-0.17388914927534449</c:v>
                </c:pt>
                <c:pt idx="6">
                  <c:v>1.1216273766788341</c:v>
                </c:pt>
                <c:pt idx="7">
                  <c:v>2.5834958530746217</c:v>
                </c:pt>
                <c:pt idx="8">
                  <c:v>4.2101747929118041</c:v>
                </c:pt>
                <c:pt idx="9">
                  <c:v>6.0096170198247307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2A-43A6-AD5A-E839A7BFC06B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(Parametrique!$R$3,Parametrique!$R$6,Parametrique!$R$9,Parametrique!$R$12,Parametrique!$R$15,Parametrique!$R$18)</c:f>
              <c:numCache>
                <c:formatCode>0.000</c:formatCode>
                <c:ptCount val="6"/>
                <c:pt idx="0">
                  <c:v>0</c:v>
                </c:pt>
                <c:pt idx="1">
                  <c:v>1.8203468278847874</c:v>
                </c:pt>
                <c:pt idx="2">
                  <c:v>4.3652208346382233</c:v>
                </c:pt>
                <c:pt idx="3">
                  <c:v>5.151630049004094</c:v>
                </c:pt>
                <c:pt idx="4">
                  <c:v>5.6759030669086705</c:v>
                </c:pt>
                <c:pt idx="5">
                  <c:v>5.7874695282104938</c:v>
                </c:pt>
              </c:numCache>
            </c:numRef>
          </c:xVal>
          <c:yVal>
            <c:numRef>
              <c:f>(Parametrique!$R$4,Parametrique!$R$7,Parametrique!$R$10,Parametrique!$R$13,Parametrique!$R$16,Parametrique!$R$19)</c:f>
              <c:numCache>
                <c:formatCode>0.000</c:formatCode>
                <c:ptCount val="6"/>
                <c:pt idx="0">
                  <c:v>-3.5296605546195075</c:v>
                </c:pt>
                <c:pt idx="1">
                  <c:v>-3.5296605546195075</c:v>
                </c:pt>
                <c:pt idx="2">
                  <c:v>-1.8610723407242729</c:v>
                </c:pt>
                <c:pt idx="3">
                  <c:v>0.71703813503844138</c:v>
                </c:pt>
                <c:pt idx="4">
                  <c:v>3.8107705215528682</c:v>
                </c:pt>
                <c:pt idx="5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2A-43A6-AD5A-E839A7BFC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49391"/>
        <c:axId val="1"/>
      </c:scatterChart>
      <c:valAx>
        <c:axId val="893949391"/>
        <c:scaling>
          <c:orientation val="minMax"/>
          <c:max val="17.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"/>
          <c:min val="-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4939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84591072777771"/>
          <c:y val="0.10211622583083635"/>
          <c:w val="0.77572932788611071"/>
          <c:h val="0.79932356081378819"/>
        </c:manualLayout>
      </c:layout>
      <c:scatterChart>
        <c:scatterStyle val="smoothMarker"/>
        <c:varyColors val="0"/>
        <c:ser>
          <c:idx val="0"/>
          <c:order val="0"/>
          <c:tx>
            <c:v>G10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Parametrique!$T$28:$T$38</c:f>
              <c:numCache>
                <c:formatCode>0.00</c:formatCode>
                <c:ptCount val="11"/>
                <c:pt idx="0">
                  <c:v>0</c:v>
                </c:pt>
                <c:pt idx="1">
                  <c:v>0.50405047684169102</c:v>
                </c:pt>
                <c:pt idx="2">
                  <c:v>1.0259260217586246</c:v>
                </c:pt>
                <c:pt idx="3">
                  <c:v>1.5181338172308294</c:v>
                </c:pt>
                <c:pt idx="4">
                  <c:v>1.9515766353953268</c:v>
                </c:pt>
                <c:pt idx="5">
                  <c:v>2.3118938027727904</c:v>
                </c:pt>
                <c:pt idx="6">
                  <c:v>2.5958021649942249</c:v>
                </c:pt>
                <c:pt idx="7">
                  <c:v>2.8074370515276259</c:v>
                </c:pt>
                <c:pt idx="8">
                  <c:v>2.9546932404046586</c:v>
                </c:pt>
                <c:pt idx="9">
                  <c:v>3.0455659229473153</c:v>
                </c:pt>
                <c:pt idx="10">
                  <c:v>3.0844916684945929</c:v>
                </c:pt>
              </c:numCache>
            </c:numRef>
          </c:xVal>
          <c:yVal>
            <c:numRef>
              <c:f>Parametrique!$T$41:$T$51</c:f>
              <c:numCache>
                <c:formatCode>0.00</c:formatCode>
                <c:ptCount val="11"/>
                <c:pt idx="0">
                  <c:v>-2.1541482133419123</c:v>
                </c:pt>
                <c:pt idx="1">
                  <c:v>-2.0102192956726617</c:v>
                </c:pt>
                <c:pt idx="2">
                  <c:v>-1.600856417806964</c:v>
                </c:pt>
                <c:pt idx="3">
                  <c:v>-0.95800710105339015</c:v>
                </c:pt>
                <c:pt idx="4">
                  <c:v>-0.11111769381626896</c:v>
                </c:pt>
                <c:pt idx="5">
                  <c:v>0.91317927552712497</c:v>
                </c:pt>
                <c:pt idx="6">
                  <c:v>2.0913777457493685</c:v>
                </c:pt>
                <c:pt idx="7">
                  <c:v>3.4034107698956877</c:v>
                </c:pt>
                <c:pt idx="8">
                  <c:v>4.8329631624067702</c:v>
                </c:pt>
                <c:pt idx="9">
                  <c:v>6.3677841462415419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F8-469A-B68D-2821C44BD38A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(Parametrique!$S$3,Parametrique!$S$6,Parametrique!$S$9,Parametrique!$S$12,Parametrique!$S$15,Parametrique!$S$18)</c:f>
              <c:numCache>
                <c:formatCode>0.000</c:formatCode>
                <c:ptCount val="6"/>
                <c:pt idx="0">
                  <c:v>0</c:v>
                </c:pt>
                <c:pt idx="1">
                  <c:v>0.94795259832366574</c:v>
                </c:pt>
                <c:pt idx="2">
                  <c:v>2.3220537241901389</c:v>
                </c:pt>
                <c:pt idx="3">
                  <c:v>2.7641448153697072</c:v>
                </c:pt>
                <c:pt idx="4">
                  <c:v>3.0588723266035824</c:v>
                </c:pt>
                <c:pt idx="5">
                  <c:v>3.0844916684945929</c:v>
                </c:pt>
              </c:numCache>
            </c:numRef>
          </c:xVal>
          <c:yVal>
            <c:numRef>
              <c:f>(Parametrique!$S$4,Parametrique!$S$7,Parametrique!$S$10,Parametrique!$S$13,Parametrique!$S$16,Parametrique!$S$19)</c:f>
              <c:numCache>
                <c:formatCode>0.000</c:formatCode>
                <c:ptCount val="6"/>
                <c:pt idx="0">
                  <c:v>-2.1541482133419123</c:v>
                </c:pt>
                <c:pt idx="1">
                  <c:v>-2.1541482133419123</c:v>
                </c:pt>
                <c:pt idx="2">
                  <c:v>-0.65707979301733199</c:v>
                </c:pt>
                <c:pt idx="3">
                  <c:v>1.7511879109644024</c:v>
                </c:pt>
                <c:pt idx="4">
                  <c:v>4.6411089834897536</c:v>
                </c:pt>
                <c:pt idx="5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F8-469A-B68D-2821C44BD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49871"/>
        <c:axId val="1"/>
      </c:scatterChart>
      <c:valAx>
        <c:axId val="893949871"/>
        <c:scaling>
          <c:orientation val="minMax"/>
          <c:max val="17.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"/>
          <c:min val="-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4987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89274319124474"/>
          <c:y val="0.10623083105632791"/>
          <c:w val="0.78250524967934265"/>
          <c:h val="0.79123653476437361"/>
        </c:manualLayout>
      </c:layout>
      <c:scatterChart>
        <c:scatterStyle val="smoothMarker"/>
        <c:varyColors val="0"/>
        <c:ser>
          <c:idx val="0"/>
          <c:order val="0"/>
          <c:tx>
            <c:v>G11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Parametrique!$U$28:$U$38</c:f>
              <c:numCache>
                <c:formatCode>0.00</c:formatCode>
                <c:ptCount val="11"/>
                <c:pt idx="0">
                  <c:v>0</c:v>
                </c:pt>
                <c:pt idx="1">
                  <c:v>4.5231228951180605E-2</c:v>
                </c:pt>
                <c:pt idx="2">
                  <c:v>9.2599719537696731E-2</c:v>
                </c:pt>
                <c:pt idx="3">
                  <c:v>0.13763409359081519</c:v>
                </c:pt>
                <c:pt idx="4">
                  <c:v>0.17755028563705813</c:v>
                </c:pt>
                <c:pt idx="5">
                  <c:v>0.21091408030685382</c:v>
                </c:pt>
                <c:pt idx="6">
                  <c:v>0.23730364974318954</c:v>
                </c:pt>
                <c:pt idx="7">
                  <c:v>0.25697209101026236</c:v>
                </c:pt>
                <c:pt idx="8">
                  <c:v>0.27050996350213152</c:v>
                </c:pt>
                <c:pt idx="9">
                  <c:v>0.27850782635136967</c:v>
                </c:pt>
                <c:pt idx="10">
                  <c:v>0.28121877583771493</c:v>
                </c:pt>
              </c:numCache>
            </c:numRef>
          </c:xVal>
          <c:yVal>
            <c:numRef>
              <c:f>Parametrique!$U$41:$U$51</c:f>
              <c:numCache>
                <c:formatCode>0.00</c:formatCode>
                <c:ptCount val="11"/>
                <c:pt idx="0">
                  <c:v>4.2818726342375157E-9</c:v>
                </c:pt>
                <c:pt idx="1">
                  <c:v>0.11600000803925115</c:v>
                </c:pt>
                <c:pt idx="2">
                  <c:v>0.44800001563876768</c:v>
                </c:pt>
                <c:pt idx="3">
                  <c:v>0.97200002208647696</c:v>
                </c:pt>
                <c:pt idx="4">
                  <c:v>1.6640000235328452</c:v>
                </c:pt>
                <c:pt idx="5">
                  <c:v>2.5000000178449486</c:v>
                </c:pt>
                <c:pt idx="6">
                  <c:v>3.4560000051786859</c:v>
                </c:pt>
                <c:pt idx="7">
                  <c:v>4.5079999885509743</c:v>
                </c:pt>
                <c:pt idx="8">
                  <c:v>5.6319999744119666</c:v>
                </c:pt>
                <c:pt idx="9">
                  <c:v>6.8039999732172358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DA-416F-90CC-39EE7D61204A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(Parametrique!$T$3,Parametrique!$T$6,Parametrique!$T$9,Parametrique!$T$12,Parametrique!$T$15,Parametrique!$T$18)</c:f>
              <c:numCache>
                <c:formatCode>0.000</c:formatCode>
                <c:ptCount val="6"/>
                <c:pt idx="0">
                  <c:v>0</c:v>
                </c:pt>
                <c:pt idx="1">
                  <c:v>8.4365636103703526E-2</c:v>
                </c:pt>
                <c:pt idx="2">
                  <c:v>0.2109140818782862</c:v>
                </c:pt>
                <c:pt idx="3">
                  <c:v>0.25309689154916531</c:v>
                </c:pt>
                <c:pt idx="4">
                  <c:v>0.28121877583771493</c:v>
                </c:pt>
                <c:pt idx="5">
                  <c:v>0.28121877583771493</c:v>
                </c:pt>
              </c:numCache>
            </c:numRef>
          </c:xVal>
          <c:yVal>
            <c:numRef>
              <c:f>(Parametrique!$T$4,Parametrique!$T$7,Parametrique!$T$10,Parametrique!$T$13,Parametrique!$T$16,Parametrique!$T$19)</c:f>
              <c:numCache>
                <c:formatCode>0.000</c:formatCode>
                <c:ptCount val="6"/>
                <c:pt idx="0">
                  <c:v>4.2818726342375157E-9</c:v>
                </c:pt>
                <c:pt idx="1">
                  <c:v>4.2818726342375157E-9</c:v>
                </c:pt>
                <c:pt idx="2">
                  <c:v>1.2000000513233076</c:v>
                </c:pt>
                <c:pt idx="3">
                  <c:v>3.2000000502528394</c:v>
                </c:pt>
                <c:pt idx="4">
                  <c:v>5.5999999059171301</c:v>
                </c:pt>
                <c:pt idx="5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DA-416F-90CC-39EE7D612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41711"/>
        <c:axId val="1"/>
      </c:scatterChart>
      <c:valAx>
        <c:axId val="893941711"/>
        <c:scaling>
          <c:orientation val="minMax"/>
          <c:max val="17.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"/>
          <c:min val="-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4171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47442177056957"/>
          <c:y val="7.6925677679427484E-2"/>
          <c:w val="0.65151382866853702"/>
          <c:h val="0.8484449744054504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'Données Générales'!$C$21</c:f>
              <c:strCache>
                <c:ptCount val="1"/>
                <c:pt idx="0">
                  <c:v>G1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Parametrique!$K$28:$K$38</c:f>
              <c:numCache>
                <c:formatCode>0.00</c:formatCode>
                <c:ptCount val="11"/>
                <c:pt idx="0">
                  <c:v>0</c:v>
                </c:pt>
                <c:pt idx="1">
                  <c:v>2.2589400118124492</c:v>
                </c:pt>
                <c:pt idx="2">
                  <c:v>4.174079991760256</c:v>
                </c:pt>
                <c:pt idx="3">
                  <c:v>5.7004199586188777</c:v>
                </c:pt>
                <c:pt idx="4">
                  <c:v>6.8505599251556415</c:v>
                </c:pt>
                <c:pt idx="5">
                  <c:v>7.6874998994171619</c:v>
                </c:pt>
                <c:pt idx="6">
                  <c:v>8.3174398860168477</c:v>
                </c:pt>
                <c:pt idx="7">
                  <c:v>8.8825798874223238</c:v>
                </c:pt>
                <c:pt idx="8">
                  <c:v>9.5539199052429211</c:v>
                </c:pt>
                <c:pt idx="9">
                  <c:v>10.524059941517116</c:v>
                </c:pt>
                <c:pt idx="10">
                  <c:v>12</c:v>
                </c:pt>
              </c:numCache>
            </c:numRef>
          </c:xVal>
          <c:yVal>
            <c:numRef>
              <c:f>Parametrique!$K$41:$K$51</c:f>
              <c:numCache>
                <c:formatCode>0.00</c:formatCode>
                <c:ptCount val="11"/>
                <c:pt idx="0">
                  <c:v>0.5</c:v>
                </c:pt>
                <c:pt idx="1">
                  <c:v>0.56116250091027475</c:v>
                </c:pt>
                <c:pt idx="2">
                  <c:v>0.69920000293254891</c:v>
                </c:pt>
                <c:pt idx="3">
                  <c:v>0.87023750524539478</c:v>
                </c:pt>
                <c:pt idx="4">
                  <c:v>1.0664000072956088</c:v>
                </c:pt>
                <c:pt idx="5">
                  <c:v>1.3203125087311491</c:v>
                </c:pt>
                <c:pt idx="6">
                  <c:v>1.7096000093340875</c:v>
                </c:pt>
                <c:pt idx="7">
                  <c:v>2.3613875089535483</c:v>
                </c:pt>
                <c:pt idx="8">
                  <c:v>3.4568000074386611</c:v>
                </c:pt>
                <c:pt idx="9">
                  <c:v>5.2354625045714913</c:v>
                </c:pt>
                <c:pt idx="1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91-4F90-8E90-4110C1789FA4}"/>
            </c:ext>
          </c:extLst>
        </c:ser>
        <c:ser>
          <c:idx val="1"/>
          <c:order val="1"/>
          <c:tx>
            <c:strRef>
              <c:f>'Données Générales'!$D$21</c:f>
              <c:strCache>
                <c:ptCount val="1"/>
                <c:pt idx="0">
                  <c:v>G2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Parametrique!$L$28:$L$38</c:f>
              <c:numCache>
                <c:formatCode>0.00</c:formatCode>
                <c:ptCount val="11"/>
                <c:pt idx="0">
                  <c:v>0</c:v>
                </c:pt>
                <c:pt idx="1">
                  <c:v>2.2792931750205949</c:v>
                </c:pt>
                <c:pt idx="2">
                  <c:v>4.3404172675408077</c:v>
                </c:pt>
                <c:pt idx="3">
                  <c:v>6.086873018783411</c:v>
                </c:pt>
                <c:pt idx="4">
                  <c:v>7.4876835973243443</c:v>
                </c:pt>
                <c:pt idx="5">
                  <c:v>8.5672620299393838</c:v>
                </c:pt>
                <c:pt idx="6">
                  <c:v>9.395278632450875</c:v>
                </c:pt>
                <c:pt idx="7">
                  <c:v>10.076528440574416</c:v>
                </c:pt>
                <c:pt idx="8">
                  <c:v>10.740798640765579</c:v>
                </c:pt>
                <c:pt idx="9">
                  <c:v>11.532736001066588</c:v>
                </c:pt>
                <c:pt idx="10">
                  <c:v>12.601714301953042</c:v>
                </c:pt>
              </c:numCache>
            </c:numRef>
          </c:xVal>
          <c:yVal>
            <c:numRef>
              <c:f>Parametrique!$L$41:$L$51</c:f>
              <c:numCache>
                <c:formatCode>0.00</c:formatCode>
                <c:ptCount val="11"/>
                <c:pt idx="0">
                  <c:v>-1.2417417590049191</c:v>
                </c:pt>
                <c:pt idx="1">
                  <c:v>-1.147832119798702</c:v>
                </c:pt>
                <c:pt idx="2">
                  <c:v>-0.9102428280581486</c:v>
                </c:pt>
                <c:pt idx="3">
                  <c:v>-0.57470896384550241</c:v>
                </c:pt>
                <c:pt idx="4">
                  <c:v>-0.15663322381838771</c:v>
                </c:pt>
                <c:pt idx="5">
                  <c:v>0.36270562676779949</c:v>
                </c:pt>
                <c:pt idx="6">
                  <c:v>1.0399443020574939</c:v>
                </c:pt>
                <c:pt idx="7">
                  <c:v>1.9734265435925655</c:v>
                </c:pt>
                <c:pt idx="8">
                  <c:v>3.3069946683099296</c:v>
                </c:pt>
                <c:pt idx="9">
                  <c:v>5.2337811165391379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91-4F90-8E90-4110C1789FA4}"/>
            </c:ext>
          </c:extLst>
        </c:ser>
        <c:ser>
          <c:idx val="2"/>
          <c:order val="2"/>
          <c:tx>
            <c:strRef>
              <c:f>'Données Générales'!$E$21</c:f>
              <c:strCache>
                <c:ptCount val="1"/>
                <c:pt idx="0">
                  <c:v>G3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Parametrique!$M$28:$M$38</c:f>
              <c:numCache>
                <c:formatCode>0.00</c:formatCode>
                <c:ptCount val="11"/>
                <c:pt idx="0">
                  <c:v>0</c:v>
                </c:pt>
                <c:pt idx="1">
                  <c:v>2.2902182547484875</c:v>
                </c:pt>
                <c:pt idx="2">
                  <c:v>4.4185196354266845</c:v>
                </c:pt>
                <c:pt idx="3">
                  <c:v>6.2651468474435461</c:v>
                </c:pt>
                <c:pt idx="4">
                  <c:v>7.779396013016231</c:v>
                </c:pt>
                <c:pt idx="5">
                  <c:v>8.9681193935294612</c:v>
                </c:pt>
                <c:pt idx="6">
                  <c:v>9.8842281118949487</c:v>
                </c:pt>
                <c:pt idx="7">
                  <c:v>10.615194874910761</c:v>
                </c:pt>
                <c:pt idx="8">
                  <c:v>11.271556695620738</c:v>
                </c:pt>
                <c:pt idx="9">
                  <c:v>11.975417615673846</c:v>
                </c:pt>
                <c:pt idx="10">
                  <c:v>12.848951427683611</c:v>
                </c:pt>
              </c:numCache>
            </c:numRef>
          </c:xVal>
          <c:yVal>
            <c:numRef>
              <c:f>Parametrique!$M$41:$M$51</c:f>
              <c:numCache>
                <c:formatCode>0.00</c:formatCode>
                <c:ptCount val="11"/>
                <c:pt idx="0">
                  <c:v>-2.6350863130002997</c:v>
                </c:pt>
                <c:pt idx="1">
                  <c:v>-2.5181793764625469</c:v>
                </c:pt>
                <c:pt idx="2">
                  <c:v>-2.212597202584738</c:v>
                </c:pt>
                <c:pt idx="3">
                  <c:v>-1.7670000076312449</c:v>
                </c:pt>
                <c:pt idx="4">
                  <c:v>-1.2018291375781704</c:v>
                </c:pt>
                <c:pt idx="5">
                  <c:v>-0.50577970915100601</c:v>
                </c:pt>
                <c:pt idx="6">
                  <c:v>0.36772674913769021</c:v>
                </c:pt>
                <c:pt idx="7">
                  <c:v>1.5040696559506288</c:v>
                </c:pt>
                <c:pt idx="8">
                  <c:v>3.030956736088124</c:v>
                </c:pt>
                <c:pt idx="9">
                  <c:v>5.1219513794504117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91-4F90-8E90-4110C1789FA4}"/>
            </c:ext>
          </c:extLst>
        </c:ser>
        <c:ser>
          <c:idx val="3"/>
          <c:order val="3"/>
          <c:tx>
            <c:strRef>
              <c:f>'Données Générales'!$F$21</c:f>
              <c:strCache>
                <c:ptCount val="1"/>
                <c:pt idx="0">
                  <c:v>G4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Parametrique!$N$28:$N$38</c:f>
              <c:numCache>
                <c:formatCode>0.00</c:formatCode>
                <c:ptCount val="11"/>
                <c:pt idx="0">
                  <c:v>0</c:v>
                </c:pt>
                <c:pt idx="1">
                  <c:v>2.2440812280289464</c:v>
                </c:pt>
                <c:pt idx="2">
                  <c:v>4.3741669555635676</c:v>
                </c:pt>
                <c:pt idx="3">
                  <c:v>6.2551519072428956</c:v>
                </c:pt>
                <c:pt idx="4">
                  <c:v>7.8221106150292412</c:v>
                </c:pt>
                <c:pt idx="5">
                  <c:v>9.0680110524939561</c:v>
                </c:pt>
                <c:pt idx="6">
                  <c:v>10.031428269103293</c:v>
                </c:pt>
                <c:pt idx="7">
                  <c:v>10.784258024504172</c:v>
                </c:pt>
                <c:pt idx="8">
                  <c:v>11.419430422810029</c:v>
                </c:pt>
                <c:pt idx="9">
                  <c:v>12.038623546886583</c:v>
                </c:pt>
                <c:pt idx="10">
                  <c:v>12.739977092637686</c:v>
                </c:pt>
              </c:numCache>
            </c:numRef>
          </c:xVal>
          <c:yVal>
            <c:numRef>
              <c:f>Parametrique!$N$41:$N$51</c:f>
              <c:numCache>
                <c:formatCode>0.00</c:formatCode>
                <c:ptCount val="11"/>
                <c:pt idx="0">
                  <c:v>-3.6955143088737241</c:v>
                </c:pt>
                <c:pt idx="1">
                  <c:v>-3.5594919694649385</c:v>
                </c:pt>
                <c:pt idx="2">
                  <c:v>-3.1962918295428486</c:v>
                </c:pt>
                <c:pt idx="3">
                  <c:v>-2.6560758459283282</c:v>
                </c:pt>
                <c:pt idx="4">
                  <c:v>-1.9636158112953785</c:v>
                </c:pt>
                <c:pt idx="5">
                  <c:v>-1.1151195833800487</c:v>
                </c:pt>
                <c:pt idx="6">
                  <c:v>-7.5057314189388435E-2</c:v>
                </c:pt>
                <c:pt idx="7">
                  <c:v>1.2270123207896135</c:v>
                </c:pt>
                <c:pt idx="8">
                  <c:v>2.899615893381096</c:v>
                </c:pt>
                <c:pt idx="9">
                  <c:v>5.0925389935113712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91-4F90-8E90-4110C1789FA4}"/>
            </c:ext>
          </c:extLst>
        </c:ser>
        <c:ser>
          <c:idx val="4"/>
          <c:order val="4"/>
          <c:tx>
            <c:strRef>
              <c:f>'Données Générales'!$G$21</c:f>
              <c:strCache>
                <c:ptCount val="1"/>
                <c:pt idx="0">
                  <c:v>G5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Parametrique!$O$28:$O$38</c:f>
              <c:numCache>
                <c:formatCode>0.00</c:formatCode>
                <c:ptCount val="11"/>
                <c:pt idx="0">
                  <c:v>0</c:v>
                </c:pt>
                <c:pt idx="1">
                  <c:v>2.1358550578351494</c:v>
                </c:pt>
                <c:pt idx="2">
                  <c:v>4.2001142651568806</c:v>
                </c:pt>
                <c:pt idx="3">
                  <c:v>6.0495320955966179</c:v>
                </c:pt>
                <c:pt idx="4">
                  <c:v>7.6097669759181468</c:v>
                </c:pt>
                <c:pt idx="5">
                  <c:v>8.8628585159736417</c:v>
                </c:pt>
                <c:pt idx="6">
                  <c:v>9.8347047386597684</c:v>
                </c:pt>
                <c:pt idx="7">
                  <c:v>10.582539309873704</c:v>
                </c:pt>
                <c:pt idx="8">
                  <c:v>11.182408768469234</c:v>
                </c:pt>
                <c:pt idx="9">
                  <c:v>11.716649756212778</c:v>
                </c:pt>
                <c:pt idx="10">
                  <c:v>12.261366247739474</c:v>
                </c:pt>
              </c:numCache>
            </c:numRef>
          </c:xVal>
          <c:yVal>
            <c:numRef>
              <c:f>Parametrique!$O$41:$O$51</c:f>
              <c:numCache>
                <c:formatCode>0.00</c:formatCode>
                <c:ptCount val="11"/>
                <c:pt idx="0">
                  <c:v>-4.4167645045914155</c:v>
                </c:pt>
                <c:pt idx="1">
                  <c:v>-4.2656781746146342</c:v>
                </c:pt>
                <c:pt idx="2">
                  <c:v>-3.8557813929392135</c:v>
                </c:pt>
                <c:pt idx="3">
                  <c:v>-3.2373310408391394</c:v>
                </c:pt>
                <c:pt idx="4">
                  <c:v>-2.4386781754040285</c:v>
                </c:pt>
                <c:pt idx="5">
                  <c:v>-1.4635298011559992</c:v>
                </c:pt>
                <c:pt idx="6">
                  <c:v>-0.2882106416665744</c:v>
                </c:pt>
                <c:pt idx="7">
                  <c:v>1.1410750888264376</c:v>
                </c:pt>
                <c:pt idx="8">
                  <c:v>2.9109819138020585</c:v>
                </c:pt>
                <c:pt idx="9">
                  <c:v>5.1437613228392411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91-4F90-8E90-4110C1789FA4}"/>
            </c:ext>
          </c:extLst>
        </c:ser>
        <c:ser>
          <c:idx val="5"/>
          <c:order val="5"/>
          <c:tx>
            <c:strRef>
              <c:f>'Données Générales'!$H$21</c:f>
              <c:strCache>
                <c:ptCount val="1"/>
                <c:pt idx="0">
                  <c:v>G6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Parametrique!$P$28:$P$38</c:f>
              <c:numCache>
                <c:formatCode>0.00</c:formatCode>
                <c:ptCount val="11"/>
                <c:pt idx="0">
                  <c:v>0</c:v>
                </c:pt>
                <c:pt idx="1">
                  <c:v>1.9587622790792913</c:v>
                </c:pt>
                <c:pt idx="2">
                  <c:v>3.8824562893916248</c:v>
                </c:pt>
                <c:pt idx="3">
                  <c:v>5.6275878082065658</c:v>
                </c:pt>
                <c:pt idx="4">
                  <c:v>7.1156366825828776</c:v>
                </c:pt>
                <c:pt idx="5">
                  <c:v>8.3209029798633569</c:v>
                </c:pt>
                <c:pt idx="6">
                  <c:v>9.2583531381697259</c:v>
                </c:pt>
                <c:pt idx="7">
                  <c:v>9.9714661168974779</c:v>
                </c:pt>
                <c:pt idx="8">
                  <c:v>10.520079547210763</c:v>
                </c:pt>
                <c:pt idx="9">
                  <c:v>10.968235882537233</c:v>
                </c:pt>
                <c:pt idx="10">
                  <c:v>11.372028549062913</c:v>
                </c:pt>
              </c:numCache>
            </c:numRef>
          </c:xVal>
          <c:yVal>
            <c:numRef>
              <c:f>Parametrique!$P$41:$P$51</c:f>
              <c:numCache>
                <c:formatCode>0.00</c:formatCode>
                <c:ptCount val="11"/>
                <c:pt idx="0">
                  <c:v>-4.7808712858580069</c:v>
                </c:pt>
                <c:pt idx="1">
                  <c:v>-4.6193007141577889</c:v>
                </c:pt>
                <c:pt idx="2">
                  <c:v>-4.1753490740934911</c:v>
                </c:pt>
                <c:pt idx="3">
                  <c:v>-3.4980277625996936</c:v>
                </c:pt>
                <c:pt idx="4">
                  <c:v>-2.6183797086395462</c:v>
                </c:pt>
                <c:pt idx="5">
                  <c:v>-1.5472333142737198</c:v>
                </c:pt>
                <c:pt idx="6">
                  <c:v>-0.27295639572938635</c:v>
                </c:pt>
                <c:pt idx="7">
                  <c:v>1.2407898755308175</c:v>
                </c:pt>
                <c:pt idx="8">
                  <c:v>3.0572970317398265</c:v>
                </c:pt>
                <c:pt idx="9">
                  <c:v>5.269055367757165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91-4F90-8E90-4110C1789FA4}"/>
            </c:ext>
          </c:extLst>
        </c:ser>
        <c:ser>
          <c:idx val="6"/>
          <c:order val="6"/>
          <c:tx>
            <c:strRef>
              <c:f>'Données Générales'!$I$21</c:f>
              <c:strCache>
                <c:ptCount val="1"/>
                <c:pt idx="0">
                  <c:v>G7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Parametrique!$Q$28:$Q$38</c:f>
              <c:numCache>
                <c:formatCode>0.00</c:formatCode>
                <c:ptCount val="11"/>
                <c:pt idx="0">
                  <c:v>0</c:v>
                </c:pt>
                <c:pt idx="1">
                  <c:v>1.7051578520770123</c:v>
                </c:pt>
                <c:pt idx="2">
                  <c:v>3.4044296718658091</c:v>
                </c:pt>
                <c:pt idx="3">
                  <c:v>4.9631563495873436</c:v>
                </c:pt>
                <c:pt idx="4">
                  <c:v>6.3047126051134654</c:v>
                </c:pt>
                <c:pt idx="5">
                  <c:v>7.3994055580197875</c:v>
                </c:pt>
                <c:pt idx="6">
                  <c:v>8.2533732976386034</c:v>
                </c:pt>
                <c:pt idx="7">
                  <c:v>8.8974834531117555</c:v>
                </c:pt>
                <c:pt idx="8">
                  <c:v>9.3762317634435437</c:v>
                </c:pt>
                <c:pt idx="9">
                  <c:v>9.7366406475535889</c:v>
                </c:pt>
                <c:pt idx="10">
                  <c:v>10.017157774329755</c:v>
                </c:pt>
              </c:numCache>
            </c:numRef>
          </c:xVal>
          <c:yVal>
            <c:numRef>
              <c:f>Parametrique!$Q$41:$Q$51</c:f>
              <c:numCache>
                <c:formatCode>0.00</c:formatCode>
                <c:ptCount val="11"/>
                <c:pt idx="0">
                  <c:v>-4.7707124581508547</c:v>
                </c:pt>
                <c:pt idx="1">
                  <c:v>-4.6038015927686748</c:v>
                </c:pt>
                <c:pt idx="2">
                  <c:v>-4.1402973845265869</c:v>
                </c:pt>
                <c:pt idx="3">
                  <c:v>-3.4267158765093506</c:v>
                </c:pt>
                <c:pt idx="4">
                  <c:v>-2.495756016887416</c:v>
                </c:pt>
                <c:pt idx="5">
                  <c:v>-1.3645725215605637</c:v>
                </c:pt>
                <c:pt idx="6">
                  <c:v>-3.3048736801580714E-2</c:v>
                </c:pt>
                <c:pt idx="7">
                  <c:v>1.5179304981000863</c:v>
                </c:pt>
                <c:pt idx="8">
                  <c:v>3.3282059881946755</c:v>
                </c:pt>
                <c:pt idx="9">
                  <c:v>5.4600713202284386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391-4F90-8E90-4110C1789FA4}"/>
            </c:ext>
          </c:extLst>
        </c:ser>
        <c:ser>
          <c:idx val="7"/>
          <c:order val="7"/>
          <c:tx>
            <c:strRef>
              <c:f>'Données Générales'!$J$21</c:f>
              <c:strCache>
                <c:ptCount val="1"/>
                <c:pt idx="0">
                  <c:v>G8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Parametrique!$R$28:$R$38</c:f>
              <c:numCache>
                <c:formatCode>0.00</c:formatCode>
                <c:ptCount val="11"/>
                <c:pt idx="0">
                  <c:v>0</c:v>
                </c:pt>
                <c:pt idx="1">
                  <c:v>1.369778222471904</c:v>
                </c:pt>
                <c:pt idx="2">
                  <c:v>2.7534266046795706</c:v>
                </c:pt>
                <c:pt idx="3">
                  <c:v>4.0354392975659117</c:v>
                </c:pt>
                <c:pt idx="4">
                  <c:v>5.1480726583198617</c:v>
                </c:pt>
                <c:pt idx="5">
                  <c:v>6.0620500384699136</c:v>
                </c:pt>
                <c:pt idx="6">
                  <c:v>6.7772665719777114</c:v>
                </c:pt>
                <c:pt idx="7">
                  <c:v>7.3134939633315765</c:v>
                </c:pt>
                <c:pt idx="8">
                  <c:v>7.7010852756400991</c:v>
                </c:pt>
                <c:pt idx="9">
                  <c:v>7.9716797187256692</c:v>
                </c:pt>
                <c:pt idx="10">
                  <c:v>8.1489074372180585</c:v>
                </c:pt>
              </c:numCache>
            </c:numRef>
          </c:xVal>
          <c:yVal>
            <c:numRef>
              <c:f>Parametrique!$R$41:$R$51</c:f>
              <c:numCache>
                <c:formatCode>0.00</c:formatCode>
                <c:ptCount val="11"/>
                <c:pt idx="0">
                  <c:v>-4.3677739133041573</c:v>
                </c:pt>
                <c:pt idx="1">
                  <c:v>-4.2012590499454321</c:v>
                </c:pt>
                <c:pt idx="2">
                  <c:v>-3.7346518292112409</c:v>
                </c:pt>
                <c:pt idx="3">
                  <c:v>-3.0108130123478665</c:v>
                </c:pt>
                <c:pt idx="4">
                  <c:v>-2.0629066301075212</c:v>
                </c:pt>
                <c:pt idx="5">
                  <c:v>-0.91318789090857333</c:v>
                </c:pt>
                <c:pt idx="6">
                  <c:v>0.42820891100419689</c:v>
                </c:pt>
                <c:pt idx="7">
                  <c:v>1.964482487399358</c:v>
                </c:pt>
                <c:pt idx="8">
                  <c:v>3.7133766478985875</c:v>
                </c:pt>
                <c:pt idx="9">
                  <c:v>5.7083923918164157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91-4F90-8E90-4110C1789FA4}"/>
            </c:ext>
          </c:extLst>
        </c:ser>
        <c:ser>
          <c:idx val="8"/>
          <c:order val="8"/>
          <c:tx>
            <c:strRef>
              <c:f>'Données Générales'!$K$21</c:f>
              <c:strCache>
                <c:ptCount val="1"/>
                <c:pt idx="0">
                  <c:v>G9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Parametrique!$S$28:$S$38</c:f>
              <c:numCache>
                <c:formatCode>0.00</c:formatCode>
                <c:ptCount val="11"/>
                <c:pt idx="0">
                  <c:v>0</c:v>
                </c:pt>
                <c:pt idx="1">
                  <c:v>0.95972961020505543</c:v>
                </c:pt>
                <c:pt idx="2">
                  <c:v>1.9415525160217701</c:v>
                </c:pt>
                <c:pt idx="3">
                  <c:v>2.8596776400991786</c:v>
                </c:pt>
                <c:pt idx="4">
                  <c:v>3.6625628250367122</c:v>
                </c:pt>
                <c:pt idx="5">
                  <c:v>4.32616336995628</c:v>
                </c:pt>
                <c:pt idx="6">
                  <c:v>4.847180567074389</c:v>
                </c:pt>
                <c:pt idx="7">
                  <c:v>5.2363102382742293</c:v>
                </c:pt>
                <c:pt idx="8">
                  <c:v>5.5114912716777855</c:v>
                </c:pt>
                <c:pt idx="9">
                  <c:v>5.6911541582179215</c:v>
                </c:pt>
                <c:pt idx="10">
                  <c:v>5.7874695282104938</c:v>
                </c:pt>
              </c:numCache>
            </c:numRef>
          </c:xVal>
          <c:yVal>
            <c:numRef>
              <c:f>Parametrique!$S$41:$S$51</c:f>
              <c:numCache>
                <c:formatCode>0.00</c:formatCode>
                <c:ptCount val="11"/>
                <c:pt idx="0">
                  <c:v>-3.5296605546195075</c:v>
                </c:pt>
                <c:pt idx="1">
                  <c:v>-3.3702037238504925</c:v>
                </c:pt>
                <c:pt idx="2">
                  <c:v>-2.9198344652382962</c:v>
                </c:pt>
                <c:pt idx="3">
                  <c:v>-2.2166108401910893</c:v>
                </c:pt>
                <c:pt idx="4">
                  <c:v>-1.2927482590707806</c:v>
                </c:pt>
                <c:pt idx="5">
                  <c:v>-0.17388914927534449</c:v>
                </c:pt>
                <c:pt idx="6">
                  <c:v>1.1216273766788341</c:v>
                </c:pt>
                <c:pt idx="7">
                  <c:v>2.5834958530746217</c:v>
                </c:pt>
                <c:pt idx="8">
                  <c:v>4.2101747929118041</c:v>
                </c:pt>
                <c:pt idx="9">
                  <c:v>6.0096170198247307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91-4F90-8E90-4110C1789FA4}"/>
            </c:ext>
          </c:extLst>
        </c:ser>
        <c:ser>
          <c:idx val="9"/>
          <c:order val="9"/>
          <c:tx>
            <c:strRef>
              <c:f>'Données Générales'!$L$21</c:f>
              <c:strCache>
                <c:ptCount val="1"/>
                <c:pt idx="0">
                  <c:v>G10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Parametrique!$T$28:$T$38</c:f>
              <c:numCache>
                <c:formatCode>0.00</c:formatCode>
                <c:ptCount val="11"/>
                <c:pt idx="0">
                  <c:v>0</c:v>
                </c:pt>
                <c:pt idx="1">
                  <c:v>0.50405047684169102</c:v>
                </c:pt>
                <c:pt idx="2">
                  <c:v>1.0259260217586246</c:v>
                </c:pt>
                <c:pt idx="3">
                  <c:v>1.5181338172308294</c:v>
                </c:pt>
                <c:pt idx="4">
                  <c:v>1.9515766353953268</c:v>
                </c:pt>
                <c:pt idx="5">
                  <c:v>2.3118938027727904</c:v>
                </c:pt>
                <c:pt idx="6">
                  <c:v>2.5958021649942249</c:v>
                </c:pt>
                <c:pt idx="7">
                  <c:v>2.8074370515276259</c:v>
                </c:pt>
                <c:pt idx="8">
                  <c:v>2.9546932404046586</c:v>
                </c:pt>
                <c:pt idx="9">
                  <c:v>3.0455659229473153</c:v>
                </c:pt>
                <c:pt idx="10">
                  <c:v>3.0844916684945929</c:v>
                </c:pt>
              </c:numCache>
            </c:numRef>
          </c:xVal>
          <c:yVal>
            <c:numRef>
              <c:f>Parametrique!$T$41:$T$51</c:f>
              <c:numCache>
                <c:formatCode>0.00</c:formatCode>
                <c:ptCount val="11"/>
                <c:pt idx="0">
                  <c:v>-2.1541482133419123</c:v>
                </c:pt>
                <c:pt idx="1">
                  <c:v>-2.0102192956726617</c:v>
                </c:pt>
                <c:pt idx="2">
                  <c:v>-1.600856417806964</c:v>
                </c:pt>
                <c:pt idx="3">
                  <c:v>-0.95800710105339015</c:v>
                </c:pt>
                <c:pt idx="4">
                  <c:v>-0.11111769381626896</c:v>
                </c:pt>
                <c:pt idx="5">
                  <c:v>0.91317927552712497</c:v>
                </c:pt>
                <c:pt idx="6">
                  <c:v>2.0913777457493685</c:v>
                </c:pt>
                <c:pt idx="7">
                  <c:v>3.4034107698956877</c:v>
                </c:pt>
                <c:pt idx="8">
                  <c:v>4.8329631624067702</c:v>
                </c:pt>
                <c:pt idx="9">
                  <c:v>6.3677841462415419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91-4F90-8E90-4110C1789FA4}"/>
            </c:ext>
          </c:extLst>
        </c:ser>
        <c:ser>
          <c:idx val="10"/>
          <c:order val="10"/>
          <c:tx>
            <c:strRef>
              <c:f>'Données Générales'!$M$21</c:f>
              <c:strCache>
                <c:ptCount val="1"/>
                <c:pt idx="0">
                  <c:v>G11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Parametrique!$U$28:$U$38</c:f>
              <c:numCache>
                <c:formatCode>0.00</c:formatCode>
                <c:ptCount val="11"/>
                <c:pt idx="0">
                  <c:v>0</c:v>
                </c:pt>
                <c:pt idx="1">
                  <c:v>4.5231228951180605E-2</c:v>
                </c:pt>
                <c:pt idx="2">
                  <c:v>9.2599719537696731E-2</c:v>
                </c:pt>
                <c:pt idx="3">
                  <c:v>0.13763409359081519</c:v>
                </c:pt>
                <c:pt idx="4">
                  <c:v>0.17755028563705813</c:v>
                </c:pt>
                <c:pt idx="5">
                  <c:v>0.21091408030685382</c:v>
                </c:pt>
                <c:pt idx="6">
                  <c:v>0.23730364974318954</c:v>
                </c:pt>
                <c:pt idx="7">
                  <c:v>0.25697209101026236</c:v>
                </c:pt>
                <c:pt idx="8">
                  <c:v>0.27050996350213152</c:v>
                </c:pt>
                <c:pt idx="9">
                  <c:v>0.27850782635136967</c:v>
                </c:pt>
                <c:pt idx="10">
                  <c:v>0.28121877583771493</c:v>
                </c:pt>
              </c:numCache>
            </c:numRef>
          </c:xVal>
          <c:yVal>
            <c:numRef>
              <c:f>Parametrique!$U$41:$U$51</c:f>
              <c:numCache>
                <c:formatCode>0.00</c:formatCode>
                <c:ptCount val="11"/>
                <c:pt idx="0">
                  <c:v>4.2818726342375157E-9</c:v>
                </c:pt>
                <c:pt idx="1">
                  <c:v>0.11600000803925115</c:v>
                </c:pt>
                <c:pt idx="2">
                  <c:v>0.44800001563876768</c:v>
                </c:pt>
                <c:pt idx="3">
                  <c:v>0.97200002208647696</c:v>
                </c:pt>
                <c:pt idx="4">
                  <c:v>1.6640000235328452</c:v>
                </c:pt>
                <c:pt idx="5">
                  <c:v>2.5000000178449486</c:v>
                </c:pt>
                <c:pt idx="6">
                  <c:v>3.4560000051786859</c:v>
                </c:pt>
                <c:pt idx="7">
                  <c:v>4.5079999885509743</c:v>
                </c:pt>
                <c:pt idx="8">
                  <c:v>5.6319999744119666</c:v>
                </c:pt>
                <c:pt idx="9">
                  <c:v>6.8039999732172358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391-4F90-8E90-4110C1789FA4}"/>
            </c:ext>
          </c:extLst>
        </c:ser>
        <c:ser>
          <c:idx val="11"/>
          <c:order val="1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('Données Générales'!$B$19,'Données Générales'!$B$4)</c:f>
              <c:numCache>
                <c:formatCode>General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xVal>
          <c:yVal>
            <c:numRef>
              <c:f>('Données Générales'!$B$18,'Données Générales'!$B$18)</c:f>
              <c:numCache>
                <c:formatCode>0.00</c:formatCode>
                <c:ptCount val="2"/>
                <c:pt idx="0">
                  <c:v>2.45361328125E-2</c:v>
                </c:pt>
                <c:pt idx="1">
                  <c:v>2.45361328125E-2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391-4F90-8E90-4110C1789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51791"/>
        <c:axId val="1"/>
      </c:scatterChart>
      <c:valAx>
        <c:axId val="893951791"/>
        <c:scaling>
          <c:orientation val="minMax"/>
          <c:max val="17.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"/>
          <c:min val="-9.5"/>
        </c:scaling>
        <c:delete val="0"/>
        <c:axPos val="l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51791"/>
        <c:crosses val="autoZero"/>
        <c:crossBetween val="midCat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C0C0C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595959" mc:Ignorable="a14" a14:legacySpreadsheetColorIndex="22">
                <a:gamma/>
                <a:shade val="4627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007502552521715"/>
          <c:y val="0.18778915433507301"/>
          <c:w val="0.17269041241816646"/>
          <c:h val="0.6267180210941593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32072388650417"/>
          <c:y val="0.10662128966642305"/>
          <c:w val="0.74673487657035753"/>
          <c:h val="0.750025623860355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'Données Générales'!$E$2:$G$2</c:f>
              <c:strCache>
                <c:ptCount val="1"/>
                <c:pt idx="0">
                  <c:v>F1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Parametrique!$D$4:$D$14</c:f>
              <c:numCache>
                <c:formatCode>0.00</c:formatCode>
                <c:ptCount val="11"/>
                <c:pt idx="0">
                  <c:v>0</c:v>
                </c:pt>
                <c:pt idx="1">
                  <c:v>12.425950014054779</c:v>
                </c:pt>
                <c:pt idx="2">
                  <c:v>24.454400093078629</c:v>
                </c:pt>
                <c:pt idx="3">
                  <c:v>35.813850254595273</c:v>
                </c:pt>
                <c:pt idx="4">
                  <c:v>46.364800476074237</c:v>
                </c:pt>
                <c:pt idx="5">
                  <c:v>56.093750707805157</c:v>
                </c:pt>
                <c:pt idx="6">
                  <c:v>65.107200885772713</c:v>
                </c:pt>
                <c:pt idx="7">
                  <c:v>73.62565094453096</c:v>
                </c:pt>
                <c:pt idx="8">
                  <c:v>81.977600830078146</c:v>
                </c:pt>
                <c:pt idx="9">
                  <c:v>90.593550512731099</c:v>
                </c:pt>
                <c:pt idx="10">
                  <c:v>100</c:v>
                </c:pt>
              </c:numCache>
            </c:numRef>
          </c:xVal>
          <c:yVal>
            <c:numRef>
              <c:f>Parametrique!$E$4:$E$14</c:f>
              <c:numCache>
                <c:formatCode>0.00</c:formatCode>
                <c:ptCount val="11"/>
                <c:pt idx="0">
                  <c:v>12</c:v>
                </c:pt>
                <c:pt idx="1">
                  <c:v>12.699432015718822</c:v>
                </c:pt>
                <c:pt idx="2">
                  <c:v>12.841984039840703</c:v>
                </c:pt>
                <c:pt idx="3">
                  <c:v>12.49029605241358</c:v>
                </c:pt>
                <c:pt idx="4">
                  <c:v>11.701248048706056</c:v>
                </c:pt>
                <c:pt idx="5">
                  <c:v>10.525000033900142</c:v>
                </c:pt>
                <c:pt idx="6">
                  <c:v>9.0040320177841195</c:v>
                </c:pt>
                <c:pt idx="7">
                  <c:v>7.17218400944531</c:v>
                </c:pt>
                <c:pt idx="8">
                  <c:v>5.0536960119628898</c:v>
                </c:pt>
                <c:pt idx="9">
                  <c:v>2.6622480171006915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25-40A5-8DD6-1DE3F3CA6E17}"/>
            </c:ext>
          </c:extLst>
        </c:ser>
        <c:ser>
          <c:idx val="1"/>
          <c:order val="1"/>
          <c:tx>
            <c:v>bezier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(Parametrique!$H$3,Parametrique!$H$6,Parametrique!$H$9,Parametrique!$H$12,Parametrique!$H$15,Parametrique!$H$18)</c:f>
              <c:numCache>
                <c:formatCode>0.000</c:formatCode>
                <c:ptCount val="6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67.000001668930054</c:v>
                </c:pt>
                <c:pt idx="4">
                  <c:v>80.000001192092896</c:v>
                </c:pt>
                <c:pt idx="5">
                  <c:v>100</c:v>
                </c:pt>
              </c:numCache>
            </c:numRef>
          </c:xVal>
          <c:yVal>
            <c:numRef>
              <c:f>(Parametrique!$H$4,Parametrique!$H$7,Parametrique!$H$10,Parametrique!$H$13,Parametrique!$H$16,Parametrique!$H$19)</c:f>
              <c:numCache>
                <c:formatCode>0.000</c:formatCode>
                <c:ptCount val="6"/>
                <c:pt idx="0">
                  <c:v>12</c:v>
                </c:pt>
                <c:pt idx="1">
                  <c:v>14</c:v>
                </c:pt>
                <c:pt idx="2">
                  <c:v>12.880000233650208</c:v>
                </c:pt>
                <c:pt idx="3">
                  <c:v>9.7999998331069946</c:v>
                </c:pt>
                <c:pt idx="4">
                  <c:v>5.6000000834465027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25-40A5-8DD6-1DE3F3CA6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71951"/>
        <c:axId val="1"/>
      </c:scatterChart>
      <c:valAx>
        <c:axId val="893971951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00"/>
          <c:min val="0"/>
        </c:scaling>
        <c:delete val="0"/>
        <c:axPos val="l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7195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Facteur d'évolution</a:t>
            </a:r>
          </a:p>
        </c:rich>
      </c:tx>
      <c:layout>
        <c:manualLayout>
          <c:xMode val="edge"/>
          <c:yMode val="edge"/>
          <c:x val="0.23313838625484387"/>
          <c:y val="7.50027538356997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11007589108973"/>
          <c:y val="0.26250963842494907"/>
          <c:w val="0.72395604152819948"/>
          <c:h val="0.6000220306855977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'Données Générales'!$Z$2:$AJ$2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'Données Générales'!$Z$3:$AJ$3</c:f>
              <c:numCache>
                <c:formatCode>General</c:formatCode>
                <c:ptCount val="11"/>
                <c:pt idx="0">
                  <c:v>0</c:v>
                </c:pt>
                <c:pt idx="1">
                  <c:v>0.31622776601683794</c:v>
                </c:pt>
                <c:pt idx="2">
                  <c:v>0.44721359549995793</c:v>
                </c:pt>
                <c:pt idx="3">
                  <c:v>0.54772255750516607</c:v>
                </c:pt>
                <c:pt idx="4">
                  <c:v>0.63245553203367588</c:v>
                </c:pt>
                <c:pt idx="5">
                  <c:v>0.70710678118654757</c:v>
                </c:pt>
                <c:pt idx="6">
                  <c:v>0.7745966692414834</c:v>
                </c:pt>
                <c:pt idx="7">
                  <c:v>0.83666002653407556</c:v>
                </c:pt>
                <c:pt idx="8">
                  <c:v>0.89442719099991586</c:v>
                </c:pt>
                <c:pt idx="9">
                  <c:v>0.94868329805051377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88-4F7E-9477-557C62179DC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'Données Générales'!$Z$2:$AJ$2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'Données Générales'!$Z$2:$AJ$2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88-4F7E-9477-557C62179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91151"/>
        <c:axId val="1"/>
      </c:scatterChart>
      <c:valAx>
        <c:axId val="893991151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At val="0"/>
        <c:crossBetween val="midCat"/>
        <c:majorUnit val="0.2"/>
        <c:minorUnit val="0.04"/>
      </c:valAx>
      <c:valAx>
        <c:axId val="1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893991151"/>
        <c:crossesAt val="0"/>
        <c:crossBetween val="midCat"/>
        <c:majorUnit val="0.2"/>
        <c:minorUnit val="0.04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839951892555598"/>
          <c:y val="0.213341659757839"/>
          <c:w val="0.60921971068707725"/>
          <c:h val="0.5266872225271649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'Données Générales'!$Y$4</c:f>
              <c:strCache>
                <c:ptCount val="1"/>
                <c:pt idx="0">
                  <c:v>P(X)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'Données Générales'!$Z$2:$AJ$2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'Données Générales'!$Z$4:$AJ$4</c:f>
              <c:numCache>
                <c:formatCode>General</c:formatCode>
                <c:ptCount val="11"/>
                <c:pt idx="0">
                  <c:v>1</c:v>
                </c:pt>
                <c:pt idx="1">
                  <c:v>1.0071999998390675</c:v>
                </c:pt>
                <c:pt idx="2">
                  <c:v>1.0127999997138977</c:v>
                </c:pt>
                <c:pt idx="3">
                  <c:v>1.0167999996244907</c:v>
                </c:pt>
                <c:pt idx="4">
                  <c:v>1.0191999995708465</c:v>
                </c:pt>
                <c:pt idx="5">
                  <c:v>1.0199999995529652</c:v>
                </c:pt>
                <c:pt idx="6">
                  <c:v>1.0191999995708465</c:v>
                </c:pt>
                <c:pt idx="7">
                  <c:v>1.0167999996244907</c:v>
                </c:pt>
                <c:pt idx="8">
                  <c:v>1.0127999997138977</c:v>
                </c:pt>
                <c:pt idx="9">
                  <c:v>1.0071999998390675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29-4CF0-8EC5-DF5732CBE261}"/>
            </c:ext>
          </c:extLst>
        </c:ser>
        <c:ser>
          <c:idx val="1"/>
          <c:order val="1"/>
          <c:tx>
            <c:strRef>
              <c:f>'Données Générales'!$Y$5</c:f>
              <c:strCache>
                <c:ptCount val="1"/>
                <c:pt idx="0">
                  <c:v>Q(X)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'Données Générales'!$Z$2:$AJ$2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'Données Générales'!$Z$5:$AJ$5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29-4CF0-8EC5-DF5732CBE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98351"/>
        <c:axId val="1"/>
      </c:scatterChart>
      <c:valAx>
        <c:axId val="893998351"/>
        <c:scaling>
          <c:orientation val="minMax"/>
          <c:max val="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  <c:minorUnit val="0.04"/>
      </c:valAx>
      <c:valAx>
        <c:axId val="1"/>
        <c:scaling>
          <c:orientation val="minMax"/>
          <c:max val="1.5"/>
          <c:min val="0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98351"/>
        <c:crosses val="autoZero"/>
        <c:crossBetween val="midCat"/>
        <c:minorUnit val="0.04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115745164195944"/>
          <c:y val="0.62669112553865203"/>
          <c:w val="0.34484134567193053"/>
          <c:h val="0.166673171685811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2684213362577"/>
          <c:y val="8.6737402791763077E-2"/>
          <c:w val="0.75928442531187967"/>
          <c:h val="0.7627789245510929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(Gréément!$G$2,Gréément!$G$6,Gréément!$G$10)</c:f>
              <c:numCache>
                <c:formatCode>0.00</c:formatCode>
                <c:ptCount val="3"/>
                <c:pt idx="0">
                  <c:v>55.000000000000007</c:v>
                </c:pt>
                <c:pt idx="1">
                  <c:v>22.000000000000007</c:v>
                </c:pt>
                <c:pt idx="2">
                  <c:v>55.000000000000007</c:v>
                </c:pt>
              </c:numCache>
            </c:numRef>
          </c:xVal>
          <c:yVal>
            <c:numRef>
              <c:f>(Gréément!$G$4,Gréément!$G$8,Gréément!$G$12)</c:f>
              <c:numCache>
                <c:formatCode>0.00</c:formatCode>
                <c:ptCount val="3"/>
                <c:pt idx="0">
                  <c:v>168</c:v>
                </c:pt>
                <c:pt idx="1">
                  <c:v>12.8</c:v>
                </c:pt>
                <c:pt idx="2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17-4671-AF4A-FD837573C95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(Gréément!$G$14,Gréément!$G$18,Gréément!$G$22)</c:f>
              <c:numCache>
                <c:formatCode>0.00</c:formatCode>
                <c:ptCount val="3"/>
                <c:pt idx="0">
                  <c:v>55.000000000000007</c:v>
                </c:pt>
                <c:pt idx="1">
                  <c:v>95</c:v>
                </c:pt>
                <c:pt idx="2">
                  <c:v>61.750000000000007</c:v>
                </c:pt>
              </c:numCache>
            </c:numRef>
          </c:xVal>
          <c:yVal>
            <c:numRef>
              <c:f>(Gréément!$G$16,Gréément!$G$20,Gréément!$G$24)</c:f>
              <c:numCache>
                <c:formatCode>0.00</c:formatCode>
                <c:ptCount val="3"/>
                <c:pt idx="0">
                  <c:v>138.90909090909091</c:v>
                </c:pt>
                <c:pt idx="1">
                  <c:v>12.8</c:v>
                </c:pt>
                <c:pt idx="2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17-4671-AF4A-FD837573C95D}"/>
            </c:ext>
          </c:extLst>
        </c:ser>
        <c:ser>
          <c:idx val="2"/>
          <c:order val="2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(Gréément!$G$14,Gréément!$G$22)</c:f>
              <c:numCache>
                <c:formatCode>0.00</c:formatCode>
                <c:ptCount val="2"/>
                <c:pt idx="0">
                  <c:v>55.000000000000007</c:v>
                </c:pt>
                <c:pt idx="1">
                  <c:v>61.750000000000007</c:v>
                </c:pt>
              </c:numCache>
            </c:numRef>
          </c:xVal>
          <c:yVal>
            <c:numRef>
              <c:f>(Gréément!$G$16,Gréément!$G$24)</c:f>
              <c:numCache>
                <c:formatCode>0.00</c:formatCode>
                <c:ptCount val="2"/>
                <c:pt idx="0">
                  <c:v>138.90909090909091</c:v>
                </c:pt>
                <c:pt idx="1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17-4671-AF4A-FD837573C95D}"/>
            </c:ext>
          </c:extLst>
        </c:ser>
        <c:ser>
          <c:idx val="3"/>
          <c:order val="3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(Gréément!$G$2,Gréément!$G$10)</c:f>
              <c:numCache>
                <c:formatCode>0.00</c:formatCode>
                <c:ptCount val="2"/>
                <c:pt idx="0">
                  <c:v>55.000000000000007</c:v>
                </c:pt>
                <c:pt idx="1">
                  <c:v>55.000000000000007</c:v>
                </c:pt>
              </c:numCache>
            </c:numRef>
          </c:xVal>
          <c:yVal>
            <c:numRef>
              <c:f>(Gréément!$G$4,Gréément!$G$12)</c:f>
              <c:numCache>
                <c:formatCode>0.00</c:formatCode>
                <c:ptCount val="2"/>
                <c:pt idx="0">
                  <c:v>168</c:v>
                </c:pt>
                <c:pt idx="1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17-4671-AF4A-FD837573C95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Gréément!$I$20:$I$24</c:f>
              <c:numCache>
                <c:formatCode>General</c:formatCode>
                <c:ptCount val="5"/>
                <c:pt idx="1">
                  <c:v>99.000000022351742</c:v>
                </c:pt>
                <c:pt idx="2">
                  <c:v>100</c:v>
                </c:pt>
                <c:pt idx="3" formatCode="0.0">
                  <c:v>4.90059381963448E-16</c:v>
                </c:pt>
                <c:pt idx="4">
                  <c:v>0</c:v>
                </c:pt>
              </c:numCache>
            </c:numRef>
          </c:xVal>
          <c:yVal>
            <c:numRef>
              <c:f>Gréément!$J$20:$J$24</c:f>
              <c:numCache>
                <c:formatCode>General</c:formatCode>
                <c:ptCount val="5"/>
                <c:pt idx="1">
                  <c:v>0</c:v>
                </c:pt>
                <c:pt idx="2">
                  <c:v>8</c:v>
                </c:pt>
                <c:pt idx="3">
                  <c:v>8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17-4671-AF4A-FD837573C95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Gréément!$I$28:$I$30</c:f>
              <c:numCache>
                <c:formatCode>General</c:formatCode>
                <c:ptCount val="3"/>
                <c:pt idx="0">
                  <c:v>53.168441812574407</c:v>
                </c:pt>
                <c:pt idx="1">
                  <c:v>55.966780855341483</c:v>
                </c:pt>
                <c:pt idx="2">
                  <c:v>58.765119898108559</c:v>
                </c:pt>
              </c:numCache>
            </c:numRef>
          </c:xVal>
          <c:yVal>
            <c:numRef>
              <c:f>Gréément!$J$28:$J$30</c:f>
              <c:numCache>
                <c:formatCode>General</c:formatCode>
                <c:ptCount val="3"/>
                <c:pt idx="0">
                  <c:v>60.168135415169431</c:v>
                </c:pt>
                <c:pt idx="1">
                  <c:v>60.168135415169431</c:v>
                </c:pt>
                <c:pt idx="2">
                  <c:v>60.168135415169431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917-4671-AF4A-FD837573C95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Gréément!$I$32:$I$34</c:f>
              <c:numCache>
                <c:formatCode>General</c:formatCode>
                <c:ptCount val="3"/>
                <c:pt idx="0">
                  <c:v>55.966780855341483</c:v>
                </c:pt>
                <c:pt idx="1">
                  <c:v>55.966780855341483</c:v>
                </c:pt>
                <c:pt idx="2">
                  <c:v>55.966780855341483</c:v>
                </c:pt>
              </c:numCache>
            </c:numRef>
          </c:xVal>
          <c:yVal>
            <c:numRef>
              <c:f>Gréément!$J$32:$J$34</c:f>
              <c:numCache>
                <c:formatCode>General</c:formatCode>
                <c:ptCount val="3"/>
                <c:pt idx="0">
                  <c:v>57.159728644410954</c:v>
                </c:pt>
                <c:pt idx="1">
                  <c:v>60.168135415169431</c:v>
                </c:pt>
                <c:pt idx="2">
                  <c:v>63.176542185927907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917-4671-AF4A-FD837573C95D}"/>
            </c:ext>
          </c:extLst>
        </c:ser>
        <c:ser>
          <c:idx val="7"/>
          <c:order val="7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Parametrique!$D$28:$D$38</c:f>
              <c:numCache>
                <c:formatCode>0.00</c:formatCode>
                <c:ptCount val="11"/>
                <c:pt idx="0">
                  <c:v>0</c:v>
                </c:pt>
                <c:pt idx="1">
                  <c:v>11.844607426730155</c:v>
                </c:pt>
                <c:pt idx="2">
                  <c:v>22.587839831378467</c:v>
                </c:pt>
                <c:pt idx="3">
                  <c:v>32.355922332580697</c:v>
                </c:pt>
                <c:pt idx="4">
                  <c:v>41.453279964040526</c:v>
                </c:pt>
                <c:pt idx="5">
                  <c:v>50.273437695752364</c:v>
                </c:pt>
                <c:pt idx="6">
                  <c:v>59.20992045522452</c:v>
                </c:pt>
                <c:pt idx="7">
                  <c:v>68.567153148702019</c:v>
                </c:pt>
                <c:pt idx="8">
                  <c:v>78.471360682389758</c:v>
                </c:pt>
                <c:pt idx="9">
                  <c:v>88.781467983675228</c:v>
                </c:pt>
                <c:pt idx="10">
                  <c:v>99.000000022351742</c:v>
                </c:pt>
              </c:numCache>
            </c:numRef>
          </c:xVal>
          <c:yVal>
            <c:numRef>
              <c:f>Parametrique!$E$28:$E$38</c:f>
              <c:numCache>
                <c:formatCode>0.00</c:formatCode>
                <c:ptCount val="11"/>
                <c:pt idx="0">
                  <c:v>0.5</c:v>
                </c:pt>
                <c:pt idx="1">
                  <c:v>-1.5420780488730677</c:v>
                </c:pt>
                <c:pt idx="2">
                  <c:v>-2.9672960684814473</c:v>
                </c:pt>
                <c:pt idx="3">
                  <c:v>-3.9229540740779631</c:v>
                </c:pt>
                <c:pt idx="4">
                  <c:v>-4.5126720748214719</c:v>
                </c:pt>
                <c:pt idx="5">
                  <c:v>-4.7937500748783348</c:v>
                </c:pt>
                <c:pt idx="6">
                  <c:v>-4.7745280745239267</c:v>
                </c:pt>
                <c:pt idx="7">
                  <c:v>-4.4117460712441208</c:v>
                </c:pt>
                <c:pt idx="8">
                  <c:v>-3.607904060836792</c:v>
                </c:pt>
                <c:pt idx="9">
                  <c:v>-2.2086220385133029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917-4671-AF4A-FD837573C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96431"/>
        <c:axId val="1"/>
      </c:scatterChart>
      <c:valAx>
        <c:axId val="893996431"/>
        <c:scaling>
          <c:orientation val="minMax"/>
          <c:max val="193.40000009536743"/>
          <c:min val="0"/>
        </c:scaling>
        <c:delete val="0"/>
        <c:axPos val="b"/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87.5"/>
          <c:min val="-5.9000000953674316"/>
        </c:scaling>
        <c:delete val="0"/>
        <c:axPos val="l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9643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32394619710335"/>
          <c:y val="8.6078784662961885E-2"/>
          <c:w val="0.7532147527914328"/>
          <c:h val="0.769645604045306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(Gréément!$G$2,Gréément!$G$6,Gréément!$G$10)</c:f>
              <c:numCache>
                <c:formatCode>0.00</c:formatCode>
                <c:ptCount val="3"/>
                <c:pt idx="0">
                  <c:v>55.000000000000007</c:v>
                </c:pt>
                <c:pt idx="1">
                  <c:v>22.000000000000007</c:v>
                </c:pt>
                <c:pt idx="2">
                  <c:v>55.000000000000007</c:v>
                </c:pt>
              </c:numCache>
            </c:numRef>
          </c:xVal>
          <c:yVal>
            <c:numRef>
              <c:f>(Gréément!$G$4,Gréément!$G$8,Gréément!$G$12)</c:f>
              <c:numCache>
                <c:formatCode>0.00</c:formatCode>
                <c:ptCount val="3"/>
                <c:pt idx="0">
                  <c:v>168</c:v>
                </c:pt>
                <c:pt idx="1">
                  <c:v>12.8</c:v>
                </c:pt>
                <c:pt idx="2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4-4B58-95AF-A6E794F753E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(Gréément!$G$14,Gréément!$G$18,Gréément!$G$22)</c:f>
              <c:numCache>
                <c:formatCode>0.00</c:formatCode>
                <c:ptCount val="3"/>
                <c:pt idx="0">
                  <c:v>55.000000000000007</c:v>
                </c:pt>
                <c:pt idx="1">
                  <c:v>95</c:v>
                </c:pt>
                <c:pt idx="2">
                  <c:v>61.750000000000007</c:v>
                </c:pt>
              </c:numCache>
            </c:numRef>
          </c:xVal>
          <c:yVal>
            <c:numRef>
              <c:f>(Gréément!$G$16,Gréément!$G$20,Gréément!$G$24)</c:f>
              <c:numCache>
                <c:formatCode>0.00</c:formatCode>
                <c:ptCount val="3"/>
                <c:pt idx="0">
                  <c:v>138.90909090909091</c:v>
                </c:pt>
                <c:pt idx="1">
                  <c:v>12.8</c:v>
                </c:pt>
                <c:pt idx="2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44-4B58-95AF-A6E794F753E6}"/>
            </c:ext>
          </c:extLst>
        </c:ser>
        <c:ser>
          <c:idx val="2"/>
          <c:order val="2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(Gréément!$G$14,Gréément!$G$22)</c:f>
              <c:numCache>
                <c:formatCode>0.00</c:formatCode>
                <c:ptCount val="2"/>
                <c:pt idx="0">
                  <c:v>55.000000000000007</c:v>
                </c:pt>
                <c:pt idx="1">
                  <c:v>61.750000000000007</c:v>
                </c:pt>
              </c:numCache>
            </c:numRef>
          </c:xVal>
          <c:yVal>
            <c:numRef>
              <c:f>(Gréément!$G$16,Gréément!$G$24)</c:f>
              <c:numCache>
                <c:formatCode>0.00</c:formatCode>
                <c:ptCount val="2"/>
                <c:pt idx="0">
                  <c:v>138.90909090909091</c:v>
                </c:pt>
                <c:pt idx="1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44-4B58-95AF-A6E794F753E6}"/>
            </c:ext>
          </c:extLst>
        </c:ser>
        <c:ser>
          <c:idx val="3"/>
          <c:order val="3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(Gréément!$G$2,Gréément!$G$10)</c:f>
              <c:numCache>
                <c:formatCode>0.00</c:formatCode>
                <c:ptCount val="2"/>
                <c:pt idx="0">
                  <c:v>55.000000000000007</c:v>
                </c:pt>
                <c:pt idx="1">
                  <c:v>55.000000000000007</c:v>
                </c:pt>
              </c:numCache>
            </c:numRef>
          </c:xVal>
          <c:yVal>
            <c:numRef>
              <c:f>(Gréément!$G$4,Gréément!$G$12)</c:f>
              <c:numCache>
                <c:formatCode>0.00</c:formatCode>
                <c:ptCount val="2"/>
                <c:pt idx="0">
                  <c:v>168</c:v>
                </c:pt>
                <c:pt idx="1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44-4B58-95AF-A6E794F753E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Gréément!$I$20:$I$24</c:f>
              <c:numCache>
                <c:formatCode>General</c:formatCode>
                <c:ptCount val="5"/>
                <c:pt idx="1">
                  <c:v>99.000000022351742</c:v>
                </c:pt>
                <c:pt idx="2">
                  <c:v>100</c:v>
                </c:pt>
                <c:pt idx="3" formatCode="0.0">
                  <c:v>4.90059381963448E-16</c:v>
                </c:pt>
                <c:pt idx="4">
                  <c:v>0</c:v>
                </c:pt>
              </c:numCache>
            </c:numRef>
          </c:xVal>
          <c:yVal>
            <c:numRef>
              <c:f>Gréément!$J$20:$J$24</c:f>
              <c:numCache>
                <c:formatCode>General</c:formatCode>
                <c:ptCount val="5"/>
                <c:pt idx="1">
                  <c:v>0</c:v>
                </c:pt>
                <c:pt idx="2">
                  <c:v>8</c:v>
                </c:pt>
                <c:pt idx="3">
                  <c:v>8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44-4B58-95AF-A6E794F753E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Gréément!$I$28:$I$30</c:f>
              <c:numCache>
                <c:formatCode>General</c:formatCode>
                <c:ptCount val="3"/>
                <c:pt idx="0">
                  <c:v>53.168441812574407</c:v>
                </c:pt>
                <c:pt idx="1">
                  <c:v>55.966780855341483</c:v>
                </c:pt>
                <c:pt idx="2">
                  <c:v>58.765119898108559</c:v>
                </c:pt>
              </c:numCache>
            </c:numRef>
          </c:xVal>
          <c:yVal>
            <c:numRef>
              <c:f>Gréément!$J$28:$J$30</c:f>
              <c:numCache>
                <c:formatCode>General</c:formatCode>
                <c:ptCount val="3"/>
                <c:pt idx="0">
                  <c:v>60.168135415169431</c:v>
                </c:pt>
                <c:pt idx="1">
                  <c:v>60.168135415169431</c:v>
                </c:pt>
                <c:pt idx="2">
                  <c:v>60.168135415169431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44-4B58-95AF-A6E794F753E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Gréément!$I$32:$I$34</c:f>
              <c:numCache>
                <c:formatCode>General</c:formatCode>
                <c:ptCount val="3"/>
                <c:pt idx="0">
                  <c:v>55.966780855341483</c:v>
                </c:pt>
                <c:pt idx="1">
                  <c:v>55.966780855341483</c:v>
                </c:pt>
                <c:pt idx="2">
                  <c:v>55.966780855341483</c:v>
                </c:pt>
              </c:numCache>
            </c:numRef>
          </c:xVal>
          <c:yVal>
            <c:numRef>
              <c:f>Gréément!$J$32:$J$34</c:f>
              <c:numCache>
                <c:formatCode>General</c:formatCode>
                <c:ptCount val="3"/>
                <c:pt idx="0">
                  <c:v>57.159728644410954</c:v>
                </c:pt>
                <c:pt idx="1">
                  <c:v>60.168135415169431</c:v>
                </c:pt>
                <c:pt idx="2">
                  <c:v>63.176542185927907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44-4B58-95AF-A6E794F753E6}"/>
            </c:ext>
          </c:extLst>
        </c:ser>
        <c:ser>
          <c:idx val="7"/>
          <c:order val="7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Parametrique!$D$28:$D$38</c:f>
              <c:numCache>
                <c:formatCode>0.00</c:formatCode>
                <c:ptCount val="11"/>
                <c:pt idx="0">
                  <c:v>0</c:v>
                </c:pt>
                <c:pt idx="1">
                  <c:v>11.844607426730155</c:v>
                </c:pt>
                <c:pt idx="2">
                  <c:v>22.587839831378467</c:v>
                </c:pt>
                <c:pt idx="3">
                  <c:v>32.355922332580697</c:v>
                </c:pt>
                <c:pt idx="4">
                  <c:v>41.453279964040526</c:v>
                </c:pt>
                <c:pt idx="5">
                  <c:v>50.273437695752364</c:v>
                </c:pt>
                <c:pt idx="6">
                  <c:v>59.20992045522452</c:v>
                </c:pt>
                <c:pt idx="7">
                  <c:v>68.567153148702019</c:v>
                </c:pt>
                <c:pt idx="8">
                  <c:v>78.471360682389758</c:v>
                </c:pt>
                <c:pt idx="9">
                  <c:v>88.781467983675228</c:v>
                </c:pt>
                <c:pt idx="10">
                  <c:v>99.000000022351742</c:v>
                </c:pt>
              </c:numCache>
            </c:numRef>
          </c:xVal>
          <c:yVal>
            <c:numRef>
              <c:f>Parametrique!$E$28:$E$38</c:f>
              <c:numCache>
                <c:formatCode>0.00</c:formatCode>
                <c:ptCount val="11"/>
                <c:pt idx="0">
                  <c:v>0.5</c:v>
                </c:pt>
                <c:pt idx="1">
                  <c:v>-1.5420780488730677</c:v>
                </c:pt>
                <c:pt idx="2">
                  <c:v>-2.9672960684814473</c:v>
                </c:pt>
                <c:pt idx="3">
                  <c:v>-3.9229540740779631</c:v>
                </c:pt>
                <c:pt idx="4">
                  <c:v>-4.5126720748214719</c:v>
                </c:pt>
                <c:pt idx="5">
                  <c:v>-4.7937500748783348</c:v>
                </c:pt>
                <c:pt idx="6">
                  <c:v>-4.7745280745239267</c:v>
                </c:pt>
                <c:pt idx="7">
                  <c:v>-4.4117460712441208</c:v>
                </c:pt>
                <c:pt idx="8">
                  <c:v>-3.607904060836792</c:v>
                </c:pt>
                <c:pt idx="9">
                  <c:v>-2.2086220385133029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44-4B58-95AF-A6E794F75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85871"/>
        <c:axId val="1"/>
      </c:scatterChart>
      <c:valAx>
        <c:axId val="893985871"/>
        <c:scaling>
          <c:orientation val="minMax"/>
          <c:max val="193.40000009536743"/>
          <c:min val="0"/>
        </c:scaling>
        <c:delete val="0"/>
        <c:axPos val="b"/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87.5"/>
          <c:min val="-5.9000000953674316"/>
        </c:scaling>
        <c:delete val="0"/>
        <c:axPos val="l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8587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7209839855378"/>
          <c:y val="8.5997950105247273E-2"/>
          <c:w val="0.78321183119343663"/>
          <c:h val="0.8255803210103739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(Gréément!$G$2,Gréément!$G$6,Gréément!$G$10)</c:f>
              <c:numCache>
                <c:formatCode>0.00</c:formatCode>
                <c:ptCount val="3"/>
                <c:pt idx="0">
                  <c:v>55.000000000000007</c:v>
                </c:pt>
                <c:pt idx="1">
                  <c:v>22.000000000000007</c:v>
                </c:pt>
                <c:pt idx="2">
                  <c:v>55.000000000000007</c:v>
                </c:pt>
              </c:numCache>
            </c:numRef>
          </c:xVal>
          <c:yVal>
            <c:numRef>
              <c:f>(Gréément!$G$4,Gréément!$G$8,Gréément!$G$12)</c:f>
              <c:numCache>
                <c:formatCode>0.00</c:formatCode>
                <c:ptCount val="3"/>
                <c:pt idx="0">
                  <c:v>168</c:v>
                </c:pt>
                <c:pt idx="1">
                  <c:v>12.8</c:v>
                </c:pt>
                <c:pt idx="2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62-40E7-98CA-1D83650E9FD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(Gréément!$G$14,Gréément!$G$18,Gréément!$G$22)</c:f>
              <c:numCache>
                <c:formatCode>0.00</c:formatCode>
                <c:ptCount val="3"/>
                <c:pt idx="0">
                  <c:v>55.000000000000007</c:v>
                </c:pt>
                <c:pt idx="1">
                  <c:v>95</c:v>
                </c:pt>
                <c:pt idx="2">
                  <c:v>61.750000000000007</c:v>
                </c:pt>
              </c:numCache>
            </c:numRef>
          </c:xVal>
          <c:yVal>
            <c:numRef>
              <c:f>(Gréément!$G$16,Gréément!$G$20,Gréément!$G$24)</c:f>
              <c:numCache>
                <c:formatCode>0.00</c:formatCode>
                <c:ptCount val="3"/>
                <c:pt idx="0">
                  <c:v>138.90909090909091</c:v>
                </c:pt>
                <c:pt idx="1">
                  <c:v>12.8</c:v>
                </c:pt>
                <c:pt idx="2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62-40E7-98CA-1D83650E9FD2}"/>
            </c:ext>
          </c:extLst>
        </c:ser>
        <c:ser>
          <c:idx val="2"/>
          <c:order val="2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(Gréément!$G$14,Gréément!$G$22)</c:f>
              <c:numCache>
                <c:formatCode>0.00</c:formatCode>
                <c:ptCount val="2"/>
                <c:pt idx="0">
                  <c:v>55.000000000000007</c:v>
                </c:pt>
                <c:pt idx="1">
                  <c:v>61.750000000000007</c:v>
                </c:pt>
              </c:numCache>
            </c:numRef>
          </c:xVal>
          <c:yVal>
            <c:numRef>
              <c:f>(Gréément!$G$16,Gréément!$G$24)</c:f>
              <c:numCache>
                <c:formatCode>0.00</c:formatCode>
                <c:ptCount val="2"/>
                <c:pt idx="0">
                  <c:v>138.90909090909091</c:v>
                </c:pt>
                <c:pt idx="1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62-40E7-98CA-1D83650E9FD2}"/>
            </c:ext>
          </c:extLst>
        </c:ser>
        <c:ser>
          <c:idx val="3"/>
          <c:order val="3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(Gréément!$G$2,Gréément!$G$10)</c:f>
              <c:numCache>
                <c:formatCode>0.00</c:formatCode>
                <c:ptCount val="2"/>
                <c:pt idx="0">
                  <c:v>55.000000000000007</c:v>
                </c:pt>
                <c:pt idx="1">
                  <c:v>55.000000000000007</c:v>
                </c:pt>
              </c:numCache>
            </c:numRef>
          </c:xVal>
          <c:yVal>
            <c:numRef>
              <c:f>(Gréément!$G$4,Gréément!$G$12)</c:f>
              <c:numCache>
                <c:formatCode>0.00</c:formatCode>
                <c:ptCount val="2"/>
                <c:pt idx="0">
                  <c:v>168</c:v>
                </c:pt>
                <c:pt idx="1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62-40E7-98CA-1D83650E9FD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Gréément!$I$20:$I$24</c:f>
              <c:numCache>
                <c:formatCode>General</c:formatCode>
                <c:ptCount val="5"/>
                <c:pt idx="1">
                  <c:v>99.000000022351742</c:v>
                </c:pt>
                <c:pt idx="2">
                  <c:v>100</c:v>
                </c:pt>
                <c:pt idx="3" formatCode="0.0">
                  <c:v>4.90059381963448E-16</c:v>
                </c:pt>
                <c:pt idx="4">
                  <c:v>0</c:v>
                </c:pt>
              </c:numCache>
            </c:numRef>
          </c:xVal>
          <c:yVal>
            <c:numRef>
              <c:f>Gréément!$J$20:$J$24</c:f>
              <c:numCache>
                <c:formatCode>General</c:formatCode>
                <c:ptCount val="5"/>
                <c:pt idx="1">
                  <c:v>0</c:v>
                </c:pt>
                <c:pt idx="2">
                  <c:v>8</c:v>
                </c:pt>
                <c:pt idx="3">
                  <c:v>8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62-40E7-98CA-1D83650E9FD2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Gréément!$I$28:$I$30</c:f>
              <c:numCache>
                <c:formatCode>General</c:formatCode>
                <c:ptCount val="3"/>
                <c:pt idx="0">
                  <c:v>53.168441812574407</c:v>
                </c:pt>
                <c:pt idx="1">
                  <c:v>55.966780855341483</c:v>
                </c:pt>
                <c:pt idx="2">
                  <c:v>58.765119898108559</c:v>
                </c:pt>
              </c:numCache>
            </c:numRef>
          </c:xVal>
          <c:yVal>
            <c:numRef>
              <c:f>Gréément!$J$28:$J$30</c:f>
              <c:numCache>
                <c:formatCode>General</c:formatCode>
                <c:ptCount val="3"/>
                <c:pt idx="0">
                  <c:v>60.168135415169431</c:v>
                </c:pt>
                <c:pt idx="1">
                  <c:v>60.168135415169431</c:v>
                </c:pt>
                <c:pt idx="2">
                  <c:v>60.168135415169431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62-40E7-98CA-1D83650E9FD2}"/>
            </c:ext>
          </c:extLst>
        </c:ser>
        <c:ser>
          <c:idx val="6"/>
          <c:order val="6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Gréément!$I$32:$I$34</c:f>
              <c:numCache>
                <c:formatCode>General</c:formatCode>
                <c:ptCount val="3"/>
                <c:pt idx="0">
                  <c:v>55.966780855341483</c:v>
                </c:pt>
                <c:pt idx="1">
                  <c:v>55.966780855341483</c:v>
                </c:pt>
                <c:pt idx="2">
                  <c:v>55.966780855341483</c:v>
                </c:pt>
              </c:numCache>
            </c:numRef>
          </c:xVal>
          <c:yVal>
            <c:numRef>
              <c:f>Gréément!$J$32:$J$34</c:f>
              <c:numCache>
                <c:formatCode>General</c:formatCode>
                <c:ptCount val="3"/>
                <c:pt idx="0">
                  <c:v>57.159728644410954</c:v>
                </c:pt>
                <c:pt idx="1">
                  <c:v>60.168135415169431</c:v>
                </c:pt>
                <c:pt idx="2">
                  <c:v>63.176542185927907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62-40E7-98CA-1D83650E9FD2}"/>
            </c:ext>
          </c:extLst>
        </c:ser>
        <c:ser>
          <c:idx val="7"/>
          <c:order val="7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Parametrique!$D$28:$D$38</c:f>
              <c:numCache>
                <c:formatCode>0.00</c:formatCode>
                <c:ptCount val="11"/>
                <c:pt idx="0">
                  <c:v>0</c:v>
                </c:pt>
                <c:pt idx="1">
                  <c:v>11.844607426730155</c:v>
                </c:pt>
                <c:pt idx="2">
                  <c:v>22.587839831378467</c:v>
                </c:pt>
                <c:pt idx="3">
                  <c:v>32.355922332580697</c:v>
                </c:pt>
                <c:pt idx="4">
                  <c:v>41.453279964040526</c:v>
                </c:pt>
                <c:pt idx="5">
                  <c:v>50.273437695752364</c:v>
                </c:pt>
                <c:pt idx="6">
                  <c:v>59.20992045522452</c:v>
                </c:pt>
                <c:pt idx="7">
                  <c:v>68.567153148702019</c:v>
                </c:pt>
                <c:pt idx="8">
                  <c:v>78.471360682389758</c:v>
                </c:pt>
                <c:pt idx="9">
                  <c:v>88.781467983675228</c:v>
                </c:pt>
                <c:pt idx="10">
                  <c:v>99.000000022351742</c:v>
                </c:pt>
              </c:numCache>
            </c:numRef>
          </c:xVal>
          <c:yVal>
            <c:numRef>
              <c:f>Parametrique!$E$28:$E$38</c:f>
              <c:numCache>
                <c:formatCode>0.00</c:formatCode>
                <c:ptCount val="11"/>
                <c:pt idx="0">
                  <c:v>0.5</c:v>
                </c:pt>
                <c:pt idx="1">
                  <c:v>-1.5420780488730677</c:v>
                </c:pt>
                <c:pt idx="2">
                  <c:v>-2.9672960684814473</c:v>
                </c:pt>
                <c:pt idx="3">
                  <c:v>-3.9229540740779631</c:v>
                </c:pt>
                <c:pt idx="4">
                  <c:v>-4.5126720748214719</c:v>
                </c:pt>
                <c:pt idx="5">
                  <c:v>-4.7937500748783348</c:v>
                </c:pt>
                <c:pt idx="6">
                  <c:v>-4.7745280745239267</c:v>
                </c:pt>
                <c:pt idx="7">
                  <c:v>-4.4117460712441208</c:v>
                </c:pt>
                <c:pt idx="8">
                  <c:v>-3.607904060836792</c:v>
                </c:pt>
                <c:pt idx="9">
                  <c:v>-2.2086220385133029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162-40E7-98CA-1D83650E9FD2}"/>
            </c:ext>
          </c:extLst>
        </c:ser>
        <c:ser>
          <c:idx val="8"/>
          <c:order val="8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('Plan derive'!$C$8,'Plan derive'!$C$11,'Plan derive'!$C$10,'Plan derive'!$C$9)</c:f>
              <c:numCache>
                <c:formatCode>General</c:formatCode>
                <c:ptCount val="4"/>
                <c:pt idx="0">
                  <c:v>45</c:v>
                </c:pt>
                <c:pt idx="1">
                  <c:v>45</c:v>
                </c:pt>
                <c:pt idx="2">
                  <c:v>50</c:v>
                </c:pt>
                <c:pt idx="3">
                  <c:v>50</c:v>
                </c:pt>
              </c:numCache>
            </c:numRef>
          </c:xVal>
          <c:yVal>
            <c:numRef>
              <c:f>('Plan derive'!$B$13,'Plan derive'!$B$15,'Plan derive'!$B$16,'Plan derive'!$B$14)</c:f>
              <c:numCache>
                <c:formatCode>0.00</c:formatCode>
                <c:ptCount val="4"/>
                <c:pt idx="0">
                  <c:v>-4.6608381609064047</c:v>
                </c:pt>
                <c:pt idx="1">
                  <c:v>-40</c:v>
                </c:pt>
                <c:pt idx="2">
                  <c:v>-40</c:v>
                </c:pt>
                <c:pt idx="3">
                  <c:v>-4.7894585337834954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162-40E7-98CA-1D83650E9FD2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('Plan derive'!$B$23,'Plan derive'!$B$23)</c:f>
              <c:numCache>
                <c:formatCode>General</c:formatCode>
                <c:ptCount val="2"/>
              </c:numCache>
            </c:numRef>
          </c:xVal>
          <c:yVal>
            <c:numRef>
              <c:f>('Plan derive'!$D$24,'Plan derive'!$E$24)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162-40E7-98CA-1D83650E9FD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('Plan derive'!$D$23,'Plan derive'!$E$23)</c:f>
              <c:numCache>
                <c:formatCode>General</c:formatCode>
                <c:ptCount val="2"/>
              </c:numCache>
            </c:numRef>
          </c:xVal>
          <c:yVal>
            <c:numRef>
              <c:f>('Plan derive'!$B$24,'Plan derive'!$B$24)</c:f>
              <c:numCache>
                <c:formatCode>0.00%</c:formatCode>
                <c:ptCount val="2"/>
                <c:pt idx="0">
                  <c:v>0.10142064696096001</c:v>
                </c:pt>
                <c:pt idx="1">
                  <c:v>0.10142064696096001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162-40E7-98CA-1D83650E9FD2}"/>
            </c:ext>
          </c:extLst>
        </c:ser>
        <c:ser>
          <c:idx val="11"/>
          <c:order val="1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'P(H1)'!$C$14:$M$14</c:f>
              <c:numCache>
                <c:formatCode>General</c:formatCode>
                <c:ptCount val="11"/>
                <c:pt idx="0">
                  <c:v>0</c:v>
                </c:pt>
                <c:pt idx="1">
                  <c:v>9.9000000022351742</c:v>
                </c:pt>
                <c:pt idx="2">
                  <c:v>19.800000004470348</c:v>
                </c:pt>
                <c:pt idx="3">
                  <c:v>29.700000006705523</c:v>
                </c:pt>
                <c:pt idx="4">
                  <c:v>39.600000008940697</c:v>
                </c:pt>
                <c:pt idx="5">
                  <c:v>49.500000011175871</c:v>
                </c:pt>
                <c:pt idx="6">
                  <c:v>59.400000013411045</c:v>
                </c:pt>
                <c:pt idx="7">
                  <c:v>69.300000015646219</c:v>
                </c:pt>
                <c:pt idx="8">
                  <c:v>79.200000017881393</c:v>
                </c:pt>
                <c:pt idx="9">
                  <c:v>89.100000020116568</c:v>
                </c:pt>
                <c:pt idx="10">
                  <c:v>99.000000022351742</c:v>
                </c:pt>
              </c:numCache>
            </c:numRef>
          </c:xVal>
          <c:yVal>
            <c:numRef>
              <c:f>'P(H1)'!$C$15:$M$15</c:f>
              <c:numCache>
                <c:formatCode>0.0E+00</c:formatCode>
                <c:ptCount val="11"/>
                <c:pt idx="0">
                  <c:v>0.5</c:v>
                </c:pt>
                <c:pt idx="1">
                  <c:v>-1.2417417590049191</c:v>
                </c:pt>
                <c:pt idx="2">
                  <c:v>-2.6350863130002997</c:v>
                </c:pt>
                <c:pt idx="3">
                  <c:v>-3.6955143088737241</c:v>
                </c:pt>
                <c:pt idx="4">
                  <c:v>-4.4167645045914155</c:v>
                </c:pt>
                <c:pt idx="5">
                  <c:v>-4.7808712858580069</c:v>
                </c:pt>
                <c:pt idx="6">
                  <c:v>-4.7707124581508547</c:v>
                </c:pt>
                <c:pt idx="7">
                  <c:v>-4.3677739133041573</c:v>
                </c:pt>
                <c:pt idx="8">
                  <c:v>-3.5296605546195075</c:v>
                </c:pt>
                <c:pt idx="9">
                  <c:v>-2.1541482133419123</c:v>
                </c:pt>
                <c:pt idx="10">
                  <c:v>4.2818726342375157E-9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62-40E7-98CA-1D83650E9FD2}"/>
            </c:ext>
          </c:extLst>
        </c:ser>
        <c:ser>
          <c:idx val="12"/>
          <c:order val="1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('Plan derive'!$H$2,'Plan derive'!$I$2)</c:f>
              <c:numCache>
                <c:formatCode>0.00</c:formatCode>
                <c:ptCount val="2"/>
                <c:pt idx="0">
                  <c:v>43.375118255615234</c:v>
                </c:pt>
                <c:pt idx="1">
                  <c:v>48.375118255615234</c:v>
                </c:pt>
              </c:numCache>
            </c:numRef>
          </c:xVal>
          <c:yVal>
            <c:numRef>
              <c:f>('Plan derive'!$B$22,'Plan derive'!$B$22)</c:f>
              <c:numCache>
                <c:formatCode>0.00</c:formatCode>
                <c:ptCount val="2"/>
                <c:pt idx="0">
                  <c:v>-10.15526008605957</c:v>
                </c:pt>
                <c:pt idx="1">
                  <c:v>-10.15526008605957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162-40E7-98CA-1D83650E9FD2}"/>
            </c:ext>
          </c:extLst>
        </c:ser>
        <c:ser>
          <c:idx val="13"/>
          <c:order val="1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('Plan derive'!$B$21,'Plan derive'!$B$21)</c:f>
              <c:numCache>
                <c:formatCode>0.00</c:formatCode>
                <c:ptCount val="2"/>
                <c:pt idx="0">
                  <c:v>45.875118255615234</c:v>
                </c:pt>
                <c:pt idx="1">
                  <c:v>45.875118255615234</c:v>
                </c:pt>
              </c:numCache>
            </c:numRef>
          </c:xVal>
          <c:yVal>
            <c:numRef>
              <c:f>('Plan derive'!$H$3,'Plan derive'!$I$3)</c:f>
              <c:numCache>
                <c:formatCode>0.00</c:formatCode>
                <c:ptCount val="2"/>
                <c:pt idx="0">
                  <c:v>-7.6552600860595703</c:v>
                </c:pt>
                <c:pt idx="1">
                  <c:v>-12.65526008605957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162-40E7-98CA-1D83650E9FD2}"/>
            </c:ext>
          </c:extLst>
        </c:ser>
        <c:ser>
          <c:idx val="14"/>
          <c:order val="1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('Plan derive'!$E$8,'Plan derive'!$E$11,'Plan derive'!$E$10,'Plan derive'!$E$9)</c:f>
              <c:numCache>
                <c:formatCode>0</c:formatCode>
                <c:ptCount val="4"/>
                <c:pt idx="0">
                  <c:v>3</c:v>
                </c:pt>
                <c:pt idx="1">
                  <c:v>3</c:v>
                </c:pt>
                <c:pt idx="2">
                  <c:v>6</c:v>
                </c:pt>
                <c:pt idx="3">
                  <c:v>7.0000000000000009</c:v>
                </c:pt>
              </c:numCache>
            </c:numRef>
          </c:xVal>
          <c:yVal>
            <c:numRef>
              <c:f>('Plan derive'!$D$13,'Plan derive'!$D$16,'Plan derive'!$D$15,'Plan derive'!$D$14)</c:f>
              <c:numCache>
                <c:formatCode>0.00</c:formatCode>
                <c:ptCount val="4"/>
                <c:pt idx="0">
                  <c:v>-6.6704837381497031E-2</c:v>
                </c:pt>
                <c:pt idx="1">
                  <c:v>-18</c:v>
                </c:pt>
                <c:pt idx="2">
                  <c:v>-16.560000000000002</c:v>
                </c:pt>
                <c:pt idx="3">
                  <c:v>-0.76899856365937946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162-40E7-98CA-1D83650E9FD2}"/>
            </c:ext>
          </c:extLst>
        </c:ser>
        <c:ser>
          <c:idx val="15"/>
          <c:order val="1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('Plan derive'!$H$5,'Plan derive'!$I$5)</c:f>
              <c:numCache>
                <c:formatCode>0.00</c:formatCode>
                <c:ptCount val="2"/>
                <c:pt idx="0">
                  <c:v>43.947322230262671</c:v>
                </c:pt>
                <c:pt idx="1">
                  <c:v>48.947322230262671</c:v>
                </c:pt>
              </c:numCache>
            </c:numRef>
          </c:xVal>
          <c:yVal>
            <c:numRef>
              <c:f>(Resultats!$O$13,Resultats!$O$13)</c:f>
              <c:numCache>
                <c:formatCode>0.0</c:formatCode>
                <c:ptCount val="2"/>
                <c:pt idx="0">
                  <c:v>-1.6474695277555069</c:v>
                </c:pt>
                <c:pt idx="1">
                  <c:v>-1.6474695277555069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162-40E7-98CA-1D83650E9FD2}"/>
            </c:ext>
          </c:extLst>
        </c:ser>
        <c:ser>
          <c:idx val="16"/>
          <c:order val="16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(Resultats!$C$13,Resultats!$C$13)</c:f>
              <c:numCache>
                <c:formatCode>0.00</c:formatCode>
                <c:ptCount val="2"/>
                <c:pt idx="0">
                  <c:v>46.447322230262671</c:v>
                </c:pt>
                <c:pt idx="1">
                  <c:v>46.447322230262671</c:v>
                </c:pt>
              </c:numCache>
            </c:numRef>
          </c:xVal>
          <c:yVal>
            <c:numRef>
              <c:f>('Plan derive'!$H$6,'Plan derive'!$I$6)</c:f>
              <c:numCache>
                <c:formatCode>0.00</c:formatCode>
                <c:ptCount val="2"/>
                <c:pt idx="0">
                  <c:v>0.90352772872166254</c:v>
                </c:pt>
                <c:pt idx="1">
                  <c:v>-4.096472271278337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162-40E7-98CA-1D83650E9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82031"/>
        <c:axId val="1"/>
      </c:scatterChart>
      <c:valAx>
        <c:axId val="893982031"/>
        <c:scaling>
          <c:orientation val="minMax"/>
          <c:max val="227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187.5"/>
          <c:min val="-40"/>
        </c:scaling>
        <c:delete val="0"/>
        <c:axPos val="l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8203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146572104018917E-2"/>
          <c:y val="8.5188770571151984E-2"/>
          <c:w val="0.92907801418439728"/>
          <c:h val="0.8964181994191674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Formes_2!$B$1:$B$200</c:f>
              <c:numCache>
                <c:formatCode>General</c:formatCode>
                <c:ptCount val="200"/>
              </c:numCache>
            </c:numRef>
          </c:xVal>
          <c:yVal>
            <c:numRef>
              <c:f>Formes_2!$C$1:$C$200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B-41E0-9379-39AE7448361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Formes_2!$D$1:$D$200</c:f>
              <c:numCache>
                <c:formatCode>General</c:formatCode>
                <c:ptCount val="200"/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  <c:pt idx="130">
                  <c:v>66.694736842105257</c:v>
                </c:pt>
                <c:pt idx="131">
                  <c:v>67.215789473684211</c:v>
                </c:pt>
                <c:pt idx="132">
                  <c:v>67.736842105263165</c:v>
                </c:pt>
                <c:pt idx="133">
                  <c:v>68.257894736842104</c:v>
                </c:pt>
                <c:pt idx="134">
                  <c:v>68.778947368421058</c:v>
                </c:pt>
                <c:pt idx="135">
                  <c:v>69.3</c:v>
                </c:pt>
                <c:pt idx="136">
                  <c:v>69.821052631578951</c:v>
                </c:pt>
                <c:pt idx="137">
                  <c:v>70.34210526315789</c:v>
                </c:pt>
                <c:pt idx="138">
                  <c:v>70.863157894736844</c:v>
                </c:pt>
                <c:pt idx="139">
                  <c:v>71.384210526315783</c:v>
                </c:pt>
                <c:pt idx="140">
                  <c:v>71.905263157894737</c:v>
                </c:pt>
                <c:pt idx="141">
                  <c:v>72.426315789473691</c:v>
                </c:pt>
                <c:pt idx="142">
                  <c:v>72.94736842105263</c:v>
                </c:pt>
                <c:pt idx="143">
                  <c:v>73.468421052631584</c:v>
                </c:pt>
                <c:pt idx="144">
                  <c:v>73.989473684210523</c:v>
                </c:pt>
                <c:pt idx="145">
                  <c:v>74.510526315789477</c:v>
                </c:pt>
                <c:pt idx="146">
                  <c:v>75.031578947368416</c:v>
                </c:pt>
                <c:pt idx="147">
                  <c:v>75.55263157894737</c:v>
                </c:pt>
                <c:pt idx="148">
                  <c:v>76.073684210526309</c:v>
                </c:pt>
                <c:pt idx="149">
                  <c:v>76.594736842105263</c:v>
                </c:pt>
                <c:pt idx="150">
                  <c:v>77.115789473684217</c:v>
                </c:pt>
                <c:pt idx="151">
                  <c:v>77.636842105263156</c:v>
                </c:pt>
                <c:pt idx="152">
                  <c:v>78.15789473684211</c:v>
                </c:pt>
                <c:pt idx="153">
                  <c:v>78.678947368421049</c:v>
                </c:pt>
              </c:numCache>
            </c:numRef>
          </c:xVal>
          <c:yVal>
            <c:numRef>
              <c:f>Formes_2!$E$1:$E$200</c:f>
              <c:numCache>
                <c:formatCode>General</c:formatCode>
                <c:ptCount val="200"/>
                <c:pt idx="66">
                  <c:v>1.6969042726141892</c:v>
                </c:pt>
                <c:pt idx="67">
                  <c:v>2.3573785343243179</c:v>
                </c:pt>
                <c:pt idx="68">
                  <c:v>2.8653286602503245</c:v>
                </c:pt>
                <c:pt idx="69">
                  <c:v>3.2431874719561273</c:v>
                </c:pt>
                <c:pt idx="70">
                  <c:v>3.5989371866405273</c:v>
                </c:pt>
                <c:pt idx="71">
                  <c:v>3.8471005334345643</c:v>
                </c:pt>
                <c:pt idx="72">
                  <c:v>4.0831808409430659</c:v>
                </c:pt>
                <c:pt idx="73">
                  <c:v>4.3076271853373802</c:v>
                </c:pt>
                <c:pt idx="74">
                  <c:v>4.4433523825258145</c:v>
                </c:pt>
                <c:pt idx="75">
                  <c:v>4.648924587784494</c:v>
                </c:pt>
                <c:pt idx="76">
                  <c:v>4.7716647379092869</c:v>
                </c:pt>
                <c:pt idx="77">
                  <c:v>4.8892248832456318</c:v>
                </c:pt>
                <c:pt idx="78">
                  <c:v>5.0017317615185082</c:v>
                </c:pt>
                <c:pt idx="79">
                  <c:v>5.1093068075671582</c:v>
                </c:pt>
                <c:pt idx="80">
                  <c:v>5.2120711997889373</c:v>
                </c:pt>
                <c:pt idx="81">
                  <c:v>5.3101423258402676</c:v>
                </c:pt>
                <c:pt idx="82">
                  <c:v>5.4036338510816382</c:v>
                </c:pt>
                <c:pt idx="83">
                  <c:v>5.4325613695952626</c:v>
                </c:pt>
                <c:pt idx="84">
                  <c:v>5.5188871985864454</c:v>
                </c:pt>
                <c:pt idx="85">
                  <c:v>5.6009098970492701</c:v>
                </c:pt>
                <c:pt idx="86">
                  <c:v>5.6228002191708821</c:v>
                </c:pt>
                <c:pt idx="87">
                  <c:v>5.6430013136362813</c:v>
                </c:pt>
                <c:pt idx="88">
                  <c:v>5.7157250586373962</c:v>
                </c:pt>
                <c:pt idx="89">
                  <c:v>5.7317398625223603</c:v>
                </c:pt>
                <c:pt idx="90">
                  <c:v>5.7461152896208239</c:v>
                </c:pt>
                <c:pt idx="91">
                  <c:v>5.7588629266430988</c:v>
                </c:pt>
                <c:pt idx="92">
                  <c:v>5.8202734369658051</c:v>
                </c:pt>
                <c:pt idx="93">
                  <c:v>5.8290083569551214</c:v>
                </c:pt>
                <c:pt idx="94">
                  <c:v>5.8361571540590358</c:v>
                </c:pt>
                <c:pt idx="95">
                  <c:v>5.8417295113831358</c:v>
                </c:pt>
                <c:pt idx="96">
                  <c:v>5.8457357156119532</c:v>
                </c:pt>
                <c:pt idx="97">
                  <c:v>5.8017141370701122</c:v>
                </c:pt>
                <c:pt idx="98">
                  <c:v>5.8033410450561131</c:v>
                </c:pt>
                <c:pt idx="99">
                  <c:v>5.8034171530521892</c:v>
                </c:pt>
                <c:pt idx="100">
                  <c:v>5.8019469767474163</c:v>
                </c:pt>
                <c:pt idx="101">
                  <c:v>5.7989438916118816</c:v>
                </c:pt>
                <c:pt idx="102">
                  <c:v>5.7510056377816738</c:v>
                </c:pt>
                <c:pt idx="103">
                  <c:v>5.7456407643952456</c:v>
                </c:pt>
                <c:pt idx="104">
                  <c:v>5.7387550687414013</c:v>
                </c:pt>
                <c:pt idx="105">
                  <c:v>5.6885281501273894</c:v>
                </c:pt>
                <c:pt idx="106">
                  <c:v>5.6792891845202007</c:v>
                </c:pt>
                <c:pt idx="107">
                  <c:v>5.6276083350162214</c:v>
                </c:pt>
                <c:pt idx="108">
                  <c:v>5.5753140890363788</c:v>
                </c:pt>
                <c:pt idx="109">
                  <c:v>5.5628762900232553</c:v>
                </c:pt>
                <c:pt idx="110">
                  <c:v>5.5091297241478969</c:v>
                </c:pt>
                <c:pt idx="111">
                  <c:v>5.494335295335901</c:v>
                </c:pt>
                <c:pt idx="112">
                  <c:v>5.4391353831746159</c:v>
                </c:pt>
                <c:pt idx="113">
                  <c:v>5.3833393097463755</c:v>
                </c:pt>
                <c:pt idx="114">
                  <c:v>5.3269498609806014</c:v>
                </c:pt>
                <c:pt idx="115">
                  <c:v>5.2699670698920222</c:v>
                </c:pt>
                <c:pt idx="116">
                  <c:v>5.2124087147338649</c:v>
                </c:pt>
                <c:pt idx="117">
                  <c:v>5.154271307999287</c:v>
                </c:pt>
                <c:pt idx="118">
                  <c:v>5.0955677905571655</c:v>
                </c:pt>
                <c:pt idx="119">
                  <c:v>5.036309146592858</c:v>
                </c:pt>
                <c:pt idx="120">
                  <c:v>4.9764865544117889</c:v>
                </c:pt>
                <c:pt idx="121">
                  <c:v>4.9161174329929533</c:v>
                </c:pt>
                <c:pt idx="122">
                  <c:v>4.8552153519871855</c:v>
                </c:pt>
                <c:pt idx="123">
                  <c:v>4.7937791772283536</c:v>
                </c:pt>
                <c:pt idx="124">
                  <c:v>4.6960479570203075</c:v>
                </c:pt>
                <c:pt idx="125">
                  <c:v>4.6339113069238866</c:v>
                </c:pt>
                <c:pt idx="126">
                  <c:v>4.5358651200981512</c:v>
                </c:pt>
                <c:pt idx="127">
                  <c:v>4.4730972713668464</c:v>
                </c:pt>
                <c:pt idx="128">
                  <c:v>4.3748493496360048</c:v>
                </c:pt>
                <c:pt idx="129">
                  <c:v>4.3115325595235756</c:v>
                </c:pt>
                <c:pt idx="130">
                  <c:v>4.213202687410833</c:v>
                </c:pt>
                <c:pt idx="131">
                  <c:v>4.1149291841345441</c:v>
                </c:pt>
                <c:pt idx="132">
                  <c:v>4.0167501947615012</c:v>
                </c:pt>
                <c:pt idx="133">
                  <c:v>3.9187349403295704</c:v>
                </c:pt>
                <c:pt idx="134">
                  <c:v>3.8209129962677935</c:v>
                </c:pt>
                <c:pt idx="135">
                  <c:v>3.7233306688580736</c:v>
                </c:pt>
                <c:pt idx="136">
                  <c:v>3.6260456369673193</c:v>
                </c:pt>
                <c:pt idx="137">
                  <c:v>3.5291098556127785</c:v>
                </c:pt>
                <c:pt idx="138">
                  <c:v>3.3989297764185991</c:v>
                </c:pt>
                <c:pt idx="139">
                  <c:v>3.3030708517347311</c:v>
                </c:pt>
                <c:pt idx="140">
                  <c:v>3.1743035056932181</c:v>
                </c:pt>
                <c:pt idx="141">
                  <c:v>3.0463817891564418</c:v>
                </c:pt>
                <c:pt idx="142">
                  <c:v>2.9194166054624509</c:v>
                </c:pt>
                <c:pt idx="143">
                  <c:v>2.7935487957966649</c:v>
                </c:pt>
                <c:pt idx="144">
                  <c:v>2.6354174733830034</c:v>
                </c:pt>
                <c:pt idx="145">
                  <c:v>2.5122266384367524</c:v>
                </c:pt>
                <c:pt idx="146">
                  <c:v>2.3570796645458962</c:v>
                </c:pt>
                <c:pt idx="147">
                  <c:v>2.1699789077890705</c:v>
                </c:pt>
                <c:pt idx="148">
                  <c:v>2.0185964278345567</c:v>
                </c:pt>
                <c:pt idx="149">
                  <c:v>1.8014461741441949</c:v>
                </c:pt>
                <c:pt idx="150">
                  <c:v>1.6208293415041886</c:v>
                </c:pt>
                <c:pt idx="151">
                  <c:v>1.3739159347243053</c:v>
                </c:pt>
                <c:pt idx="152">
                  <c:v>1.09431489893976</c:v>
                </c:pt>
                <c:pt idx="153">
                  <c:v>0.67230527515551164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B-41E0-9379-39AE74483614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Formes_2!$F$1:$F$200</c:f>
              <c:numCache>
                <c:formatCode>General</c:formatCode>
                <c:ptCount val="200"/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  <c:pt idx="130">
                  <c:v>66.694736842105257</c:v>
                </c:pt>
                <c:pt idx="131">
                  <c:v>67.215789473684211</c:v>
                </c:pt>
                <c:pt idx="132">
                  <c:v>67.736842105263165</c:v>
                </c:pt>
                <c:pt idx="133">
                  <c:v>68.257894736842104</c:v>
                </c:pt>
                <c:pt idx="134">
                  <c:v>68.778947368421058</c:v>
                </c:pt>
                <c:pt idx="135">
                  <c:v>69.3</c:v>
                </c:pt>
                <c:pt idx="136">
                  <c:v>69.821052631578951</c:v>
                </c:pt>
                <c:pt idx="137">
                  <c:v>70.34210526315789</c:v>
                </c:pt>
                <c:pt idx="138">
                  <c:v>70.863157894736844</c:v>
                </c:pt>
                <c:pt idx="139">
                  <c:v>71.384210526315783</c:v>
                </c:pt>
                <c:pt idx="140">
                  <c:v>71.905263157894737</c:v>
                </c:pt>
                <c:pt idx="141">
                  <c:v>72.426315789473691</c:v>
                </c:pt>
                <c:pt idx="142">
                  <c:v>72.94736842105263</c:v>
                </c:pt>
                <c:pt idx="143">
                  <c:v>73.468421052631584</c:v>
                </c:pt>
                <c:pt idx="144">
                  <c:v>73.989473684210523</c:v>
                </c:pt>
                <c:pt idx="145">
                  <c:v>74.510526315789477</c:v>
                </c:pt>
                <c:pt idx="146">
                  <c:v>75.031578947368416</c:v>
                </c:pt>
                <c:pt idx="147">
                  <c:v>75.55263157894737</c:v>
                </c:pt>
                <c:pt idx="148">
                  <c:v>76.073684210526309</c:v>
                </c:pt>
                <c:pt idx="149">
                  <c:v>76.594736842105263</c:v>
                </c:pt>
                <c:pt idx="150">
                  <c:v>77.115789473684217</c:v>
                </c:pt>
                <c:pt idx="151">
                  <c:v>77.636842105263156</c:v>
                </c:pt>
                <c:pt idx="152">
                  <c:v>78.15789473684211</c:v>
                </c:pt>
                <c:pt idx="153">
                  <c:v>78.678947368421049</c:v>
                </c:pt>
                <c:pt idx="154">
                  <c:v>79.2</c:v>
                </c:pt>
                <c:pt idx="155">
                  <c:v>79.721052631578942</c:v>
                </c:pt>
                <c:pt idx="156">
                  <c:v>80.242105263157896</c:v>
                </c:pt>
                <c:pt idx="157">
                  <c:v>80.763157894736835</c:v>
                </c:pt>
                <c:pt idx="158">
                  <c:v>81.284210526315789</c:v>
                </c:pt>
                <c:pt idx="159">
                  <c:v>81.805263157894743</c:v>
                </c:pt>
                <c:pt idx="160">
                  <c:v>82.326315789473682</c:v>
                </c:pt>
                <c:pt idx="161">
                  <c:v>82.847368421052636</c:v>
                </c:pt>
                <c:pt idx="162">
                  <c:v>83.368421052631575</c:v>
                </c:pt>
                <c:pt idx="163">
                  <c:v>83.889473684210529</c:v>
                </c:pt>
                <c:pt idx="164">
                  <c:v>84.410526315789468</c:v>
                </c:pt>
                <c:pt idx="165">
                  <c:v>84.931578947368422</c:v>
                </c:pt>
                <c:pt idx="166">
                  <c:v>85.452631578947361</c:v>
                </c:pt>
                <c:pt idx="167">
                  <c:v>85.973684210526315</c:v>
                </c:pt>
                <c:pt idx="168">
                  <c:v>86.494736842105269</c:v>
                </c:pt>
                <c:pt idx="169">
                  <c:v>87.015789473684208</c:v>
                </c:pt>
                <c:pt idx="170">
                  <c:v>87.536842105263162</c:v>
                </c:pt>
                <c:pt idx="171">
                  <c:v>88.057894736842101</c:v>
                </c:pt>
                <c:pt idx="172">
                  <c:v>88.578947368421055</c:v>
                </c:pt>
                <c:pt idx="173">
                  <c:v>89.1</c:v>
                </c:pt>
                <c:pt idx="174">
                  <c:v>89.621052631578948</c:v>
                </c:pt>
              </c:numCache>
            </c:numRef>
          </c:xVal>
          <c:yVal>
            <c:numRef>
              <c:f>Formes_2!$G$1:$G$200</c:f>
              <c:numCache>
                <c:formatCode>General</c:formatCode>
                <c:ptCount val="200"/>
                <c:pt idx="40">
                  <c:v>2.2086586516059397</c:v>
                </c:pt>
                <c:pt idx="41">
                  <c:v>3.2230111460319382</c:v>
                </c:pt>
                <c:pt idx="42">
                  <c:v>3.9284539199647353</c:v>
                </c:pt>
                <c:pt idx="43">
                  <c:v>4.4792763554541688</c:v>
                </c:pt>
                <c:pt idx="44">
                  <c:v>4.9022313876237771</c:v>
                </c:pt>
                <c:pt idx="45">
                  <c:v>5.2951873653583013</c:v>
                </c:pt>
                <c:pt idx="46">
                  <c:v>5.6599494957852325</c:v>
                </c:pt>
                <c:pt idx="47">
                  <c:v>5.9308875415578388</c:v>
                </c:pt>
                <c:pt idx="48">
                  <c:v>6.1855092165447303</c:v>
                </c:pt>
                <c:pt idx="49">
                  <c:v>6.3637587347618876</c:v>
                </c:pt>
                <c:pt idx="50">
                  <c:v>6.5916434916495952</c:v>
                </c:pt>
                <c:pt idx="51">
                  <c:v>6.7504185749229029</c:v>
                </c:pt>
                <c:pt idx="52">
                  <c:v>6.901289065087111</c:v>
                </c:pt>
                <c:pt idx="53">
                  <c:v>7.0950168473468587</c:v>
                </c:pt>
                <c:pt idx="54">
                  <c:v>7.2288792784495568</c:v>
                </c:pt>
                <c:pt idx="55">
                  <c:v>7.3095717026693805</c:v>
                </c:pt>
                <c:pt idx="56">
                  <c:v>7.4318734659152152</c:v>
                </c:pt>
                <c:pt idx="57">
                  <c:v>7.5477509423916853</c:v>
                </c:pt>
                <c:pt idx="58">
                  <c:v>7.616162703633691</c:v>
                </c:pt>
                <c:pt idx="59">
                  <c:v>7.7217000658569424</c:v>
                </c:pt>
                <c:pt idx="60">
                  <c:v>7.7829816692691534</c:v>
                </c:pt>
                <c:pt idx="61">
                  <c:v>7.8788904752222066</c:v>
                </c:pt>
                <c:pt idx="62">
                  <c:v>7.93350418744377</c:v>
                </c:pt>
                <c:pt idx="63">
                  <c:v>7.9854224450027349</c:v>
                </c:pt>
                <c:pt idx="64">
                  <c:v>8.0347097365374722</c:v>
                </c:pt>
                <c:pt idx="65">
                  <c:v>8.0814357644870647</c:v>
                </c:pt>
                <c:pt idx="66">
                  <c:v>8.1256614064164125</c:v>
                </c:pt>
                <c:pt idx="67">
                  <c:v>8.1674475269122944</c:v>
                </c:pt>
                <c:pt idx="68">
                  <c:v>8.2068555125542133</c:v>
                </c:pt>
                <c:pt idx="69">
                  <c:v>8.243942126295611</c:v>
                </c:pt>
                <c:pt idx="70">
                  <c:v>8.249053771207528</c:v>
                </c:pt>
                <c:pt idx="71">
                  <c:v>8.2823775781673206</c:v>
                </c:pt>
                <c:pt idx="72">
                  <c:v>8.3135149966248711</c:v>
                </c:pt>
                <c:pt idx="73">
                  <c:v>8.3145010153281298</c:v>
                </c:pt>
                <c:pt idx="74">
                  <c:v>8.3420639733914435</c:v>
                </c:pt>
                <c:pt idx="75">
                  <c:v>8.3404705603670024</c:v>
                </c:pt>
                <c:pt idx="76">
                  <c:v>8.3377411496030263</c:v>
                </c:pt>
                <c:pt idx="77">
                  <c:v>8.3604299224298231</c:v>
                </c:pt>
                <c:pt idx="78">
                  <c:v>8.3551725671523869</c:v>
                </c:pt>
                <c:pt idx="79">
                  <c:v>8.3487927665677439</c:v>
                </c:pt>
                <c:pt idx="80">
                  <c:v>8.3412919880920011</c:v>
                </c:pt>
                <c:pt idx="81">
                  <c:v>8.3579006013232586</c:v>
                </c:pt>
                <c:pt idx="82">
                  <c:v>8.347924536880555</c:v>
                </c:pt>
                <c:pt idx="83">
                  <c:v>8.3368351954563984</c:v>
                </c:pt>
                <c:pt idx="84">
                  <c:v>8.3246351612337754</c:v>
                </c:pt>
                <c:pt idx="85">
                  <c:v>8.3113241432923601</c:v>
                </c:pt>
                <c:pt idx="86">
                  <c:v>8.2969023916401952</c:v>
                </c:pt>
                <c:pt idx="87">
                  <c:v>8.2813678176844121</c:v>
                </c:pt>
                <c:pt idx="88">
                  <c:v>8.2410738554152889</c:v>
                </c:pt>
                <c:pt idx="89">
                  <c:v>8.2235266756372152</c:v>
                </c:pt>
                <c:pt idx="90">
                  <c:v>8.204861925518145</c:v>
                </c:pt>
                <c:pt idx="91">
                  <c:v>8.1850784172672419</c:v>
                </c:pt>
                <c:pt idx="92">
                  <c:v>8.1641721825810158</c:v>
                </c:pt>
                <c:pt idx="93">
                  <c:v>8.1192963841098962</c:v>
                </c:pt>
                <c:pt idx="94">
                  <c:v>8.096345993018522</c:v>
                </c:pt>
                <c:pt idx="95">
                  <c:v>8.0722652297800117</c:v>
                </c:pt>
                <c:pt idx="96">
                  <c:v>8.0245838395711537</c:v>
                </c:pt>
                <c:pt idx="97">
                  <c:v>7.9984331502578643</c:v>
                </c:pt>
                <c:pt idx="98">
                  <c:v>7.9488602952994789</c:v>
                </c:pt>
                <c:pt idx="99">
                  <c:v>7.9206235279272637</c:v>
                </c:pt>
                <c:pt idx="100">
                  <c:v>7.8691450459742036</c:v>
                </c:pt>
                <c:pt idx="101">
                  <c:v>7.8388025760084101</c:v>
                </c:pt>
                <c:pt idx="102">
                  <c:v>7.7854128288484743</c:v>
                </c:pt>
                <c:pt idx="103">
                  <c:v>7.752943924343163</c:v>
                </c:pt>
                <c:pt idx="104">
                  <c:v>7.697628631082603</c:v>
                </c:pt>
                <c:pt idx="105">
                  <c:v>7.6630150269445592</c:v>
                </c:pt>
                <c:pt idx="106">
                  <c:v>7.6057624443786285</c:v>
                </c:pt>
                <c:pt idx="107">
                  <c:v>7.5475483245477193</c:v>
                </c:pt>
                <c:pt idx="108">
                  <c:v>7.5097848718687361</c:v>
                </c:pt>
                <c:pt idx="109">
                  <c:v>7.4496231969489433</c:v>
                </c:pt>
                <c:pt idx="110">
                  <c:v>7.3884977185895497</c:v>
                </c:pt>
                <c:pt idx="111">
                  <c:v>7.326413233619042</c:v>
                </c:pt>
                <c:pt idx="112">
                  <c:v>7.2633721985981001</c:v>
                </c:pt>
                <c:pt idx="113">
                  <c:v>7.2204200823221356</c:v>
                </c:pt>
                <c:pt idx="114">
                  <c:v>7.1554208043914738</c:v>
                </c:pt>
                <c:pt idx="115">
                  <c:v>7.0894614547722554</c:v>
                </c:pt>
                <c:pt idx="116">
                  <c:v>7.0225581340550711</c:v>
                </c:pt>
                <c:pt idx="117">
                  <c:v>6.954703086987478</c:v>
                </c:pt>
                <c:pt idx="118">
                  <c:v>6.8859062374072106</c:v>
                </c:pt>
                <c:pt idx="119">
                  <c:v>6.8161750197270941</c:v>
                </c:pt>
                <c:pt idx="120">
                  <c:v>6.7455011934409512</c:v>
                </c:pt>
                <c:pt idx="121">
                  <c:v>6.6739008566519118</c:v>
                </c:pt>
                <c:pt idx="122">
                  <c:v>6.6013778799248826</c:v>
                </c:pt>
                <c:pt idx="123">
                  <c:v>6.5279405024683452</c:v>
                </c:pt>
                <c:pt idx="124">
                  <c:v>6.4535870028279767</c:v>
                </c:pt>
                <c:pt idx="125">
                  <c:v>6.378325311231313</c:v>
                </c:pt>
                <c:pt idx="126">
                  <c:v>6.3021797526658192</c:v>
                </c:pt>
                <c:pt idx="127">
                  <c:v>6.2251335967750485</c:v>
                </c:pt>
                <c:pt idx="128">
                  <c:v>6.1274915098348295</c:v>
                </c:pt>
                <c:pt idx="129">
                  <c:v>6.0488297301611649</c:v>
                </c:pt>
                <c:pt idx="130">
                  <c:v>5.9693132761366483</c:v>
                </c:pt>
                <c:pt idx="131">
                  <c:v>5.8695032350182217</c:v>
                </c:pt>
                <c:pt idx="132">
                  <c:v>5.7884495536623382</c:v>
                </c:pt>
                <c:pt idx="133">
                  <c:v>5.7065974226526226</c:v>
                </c:pt>
                <c:pt idx="134">
                  <c:v>5.6048055260476648</c:v>
                </c:pt>
                <c:pt idx="135">
                  <c:v>5.5215181358962333</c:v>
                </c:pt>
                <c:pt idx="136">
                  <c:v>5.4185407951193287</c:v>
                </c:pt>
                <c:pt idx="137">
                  <c:v>5.3339100470230809</c:v>
                </c:pt>
                <c:pt idx="138">
                  <c:v>5.2298613138874659</c:v>
                </c:pt>
                <c:pt idx="139">
                  <c:v>5.1439780332378024</c:v>
                </c:pt>
                <c:pt idx="140">
                  <c:v>5.0389747109400496</c:v>
                </c:pt>
                <c:pt idx="141">
                  <c:v>4.9335853796932749</c:v>
                </c:pt>
                <c:pt idx="142">
                  <c:v>4.8460975789928362</c:v>
                </c:pt>
                <c:pt idx="143">
                  <c:v>4.739955733490465</c:v>
                </c:pt>
                <c:pt idx="144">
                  <c:v>4.633536101194375</c:v>
                </c:pt>
                <c:pt idx="145">
                  <c:v>4.5268853342413191</c:v>
                </c:pt>
                <c:pt idx="146">
                  <c:v>4.4200489564857479</c:v>
                </c:pt>
                <c:pt idx="147">
                  <c:v>4.3130657339732288</c:v>
                </c:pt>
                <c:pt idx="148">
                  <c:v>4.2059916600732832</c:v>
                </c:pt>
                <c:pt idx="149">
                  <c:v>4.0988818651383827</c:v>
                </c:pt>
                <c:pt idx="150">
                  <c:v>3.9917737554028561</c:v>
                </c:pt>
                <c:pt idx="151">
                  <c:v>3.867632156719675</c:v>
                </c:pt>
                <c:pt idx="152">
                  <c:v>3.7608622193587911</c:v>
                </c:pt>
                <c:pt idx="153">
                  <c:v>3.6374286377615306</c:v>
                </c:pt>
                <c:pt idx="154">
                  <c:v>3.531180463319501</c:v>
                </c:pt>
                <c:pt idx="155">
                  <c:v>3.408745764538601</c:v>
                </c:pt>
                <c:pt idx="156">
                  <c:v>3.286926773415467</c:v>
                </c:pt>
                <c:pt idx="157">
                  <c:v>3.1658793136746368</c:v>
                </c:pt>
                <c:pt idx="158">
                  <c:v>3.0456808999385236</c:v>
                </c:pt>
                <c:pt idx="159">
                  <c:v>2.9264061133902719</c:v>
                </c:pt>
                <c:pt idx="160">
                  <c:v>2.792258956804254</c:v>
                </c:pt>
                <c:pt idx="161">
                  <c:v>2.6752548719953144</c:v>
                </c:pt>
                <c:pt idx="162">
                  <c:v>2.5439355474063836</c:v>
                </c:pt>
                <c:pt idx="163">
                  <c:v>2.4142822871572243</c:v>
                </c:pt>
                <c:pt idx="164">
                  <c:v>2.2709626820401798</c:v>
                </c:pt>
                <c:pt idx="165">
                  <c:v>2.129876935062466</c:v>
                </c:pt>
                <c:pt idx="166">
                  <c:v>1.9912304548901913</c:v>
                </c:pt>
                <c:pt idx="167">
                  <c:v>1.8552794662542849</c:v>
                </c:pt>
                <c:pt idx="168">
                  <c:v>1.7071823641805468</c:v>
                </c:pt>
                <c:pt idx="169">
                  <c:v>1.5474990411121325</c:v>
                </c:pt>
                <c:pt idx="170">
                  <c:v>1.3919476656220811</c:v>
                </c:pt>
                <c:pt idx="171">
                  <c:v>1.2259948870371509</c:v>
                </c:pt>
                <c:pt idx="172">
                  <c:v>1.035641615582455</c:v>
                </c:pt>
                <c:pt idx="173">
                  <c:v>0.82193341686296018</c:v>
                </c:pt>
                <c:pt idx="174">
                  <c:v>0.55610430730088656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B-41E0-9379-39AE74483614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Formes_2!$H$1:$H$200</c:f>
              <c:numCache>
                <c:formatCode>General</c:formatCode>
                <c:ptCount val="200"/>
                <c:pt idx="22">
                  <c:v>10.421052631578947</c:v>
                </c:pt>
                <c:pt idx="23">
                  <c:v>10.942105263157895</c:v>
                </c:pt>
                <c:pt idx="24">
                  <c:v>11.463157894736842</c:v>
                </c:pt>
                <c:pt idx="25">
                  <c:v>11.98421052631579</c:v>
                </c:pt>
                <c:pt idx="26">
                  <c:v>12.505263157894737</c:v>
                </c:pt>
                <c:pt idx="27">
                  <c:v>13.026315789473685</c:v>
                </c:pt>
                <c:pt idx="28">
                  <c:v>13.547368421052632</c:v>
                </c:pt>
                <c:pt idx="29">
                  <c:v>14.06842105263158</c:v>
                </c:pt>
                <c:pt idx="30">
                  <c:v>14.589473684210526</c:v>
                </c:pt>
                <c:pt idx="31">
                  <c:v>15.110526315789473</c:v>
                </c:pt>
                <c:pt idx="32">
                  <c:v>15.631578947368421</c:v>
                </c:pt>
                <c:pt idx="33">
                  <c:v>16.152631578947368</c:v>
                </c:pt>
                <c:pt idx="34">
                  <c:v>16.673684210526314</c:v>
                </c:pt>
                <c:pt idx="35">
                  <c:v>17.194736842105264</c:v>
                </c:pt>
                <c:pt idx="36">
                  <c:v>17.715789473684211</c:v>
                </c:pt>
                <c:pt idx="37">
                  <c:v>18.236842105263158</c:v>
                </c:pt>
                <c:pt idx="38">
                  <c:v>18.757894736842104</c:v>
                </c:pt>
                <c:pt idx="39">
                  <c:v>19.278947368421054</c:v>
                </c:pt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  <c:pt idx="130">
                  <c:v>66.694736842105257</c:v>
                </c:pt>
                <c:pt idx="131">
                  <c:v>67.215789473684211</c:v>
                </c:pt>
                <c:pt idx="132">
                  <c:v>67.736842105263165</c:v>
                </c:pt>
                <c:pt idx="133">
                  <c:v>68.257894736842104</c:v>
                </c:pt>
                <c:pt idx="134">
                  <c:v>68.778947368421058</c:v>
                </c:pt>
                <c:pt idx="135">
                  <c:v>69.3</c:v>
                </c:pt>
                <c:pt idx="136">
                  <c:v>69.821052631578951</c:v>
                </c:pt>
                <c:pt idx="137">
                  <c:v>70.34210526315789</c:v>
                </c:pt>
                <c:pt idx="138">
                  <c:v>70.863157894736844</c:v>
                </c:pt>
                <c:pt idx="139">
                  <c:v>71.384210526315783</c:v>
                </c:pt>
                <c:pt idx="140">
                  <c:v>71.905263157894737</c:v>
                </c:pt>
                <c:pt idx="141">
                  <c:v>72.426315789473691</c:v>
                </c:pt>
                <c:pt idx="142">
                  <c:v>72.94736842105263</c:v>
                </c:pt>
                <c:pt idx="143">
                  <c:v>73.468421052631584</c:v>
                </c:pt>
                <c:pt idx="144">
                  <c:v>73.989473684210523</c:v>
                </c:pt>
                <c:pt idx="145">
                  <c:v>74.510526315789477</c:v>
                </c:pt>
                <c:pt idx="146">
                  <c:v>75.031578947368416</c:v>
                </c:pt>
                <c:pt idx="147">
                  <c:v>75.55263157894737</c:v>
                </c:pt>
                <c:pt idx="148">
                  <c:v>76.073684210526309</c:v>
                </c:pt>
                <c:pt idx="149">
                  <c:v>76.594736842105263</c:v>
                </c:pt>
                <c:pt idx="150">
                  <c:v>77.115789473684217</c:v>
                </c:pt>
                <c:pt idx="151">
                  <c:v>77.636842105263156</c:v>
                </c:pt>
                <c:pt idx="152">
                  <c:v>78.15789473684211</c:v>
                </c:pt>
                <c:pt idx="153">
                  <c:v>78.678947368421049</c:v>
                </c:pt>
                <c:pt idx="154">
                  <c:v>79.2</c:v>
                </c:pt>
                <c:pt idx="155">
                  <c:v>79.721052631578942</c:v>
                </c:pt>
                <c:pt idx="156">
                  <c:v>80.242105263157896</c:v>
                </c:pt>
                <c:pt idx="157">
                  <c:v>80.763157894736835</c:v>
                </c:pt>
                <c:pt idx="158">
                  <c:v>81.284210526315789</c:v>
                </c:pt>
                <c:pt idx="159">
                  <c:v>81.805263157894743</c:v>
                </c:pt>
                <c:pt idx="160">
                  <c:v>82.326315789473682</c:v>
                </c:pt>
                <c:pt idx="161">
                  <c:v>82.847368421052636</c:v>
                </c:pt>
                <c:pt idx="162">
                  <c:v>83.368421052631575</c:v>
                </c:pt>
                <c:pt idx="163">
                  <c:v>83.889473684210529</c:v>
                </c:pt>
                <c:pt idx="164">
                  <c:v>84.410526315789468</c:v>
                </c:pt>
                <c:pt idx="165">
                  <c:v>84.931578947368422</c:v>
                </c:pt>
                <c:pt idx="166">
                  <c:v>85.452631578947361</c:v>
                </c:pt>
                <c:pt idx="167">
                  <c:v>85.973684210526315</c:v>
                </c:pt>
                <c:pt idx="168">
                  <c:v>86.494736842105269</c:v>
                </c:pt>
                <c:pt idx="169">
                  <c:v>87.015789473684208</c:v>
                </c:pt>
                <c:pt idx="170">
                  <c:v>87.536842105263162</c:v>
                </c:pt>
                <c:pt idx="171">
                  <c:v>88.057894736842101</c:v>
                </c:pt>
                <c:pt idx="172">
                  <c:v>88.578947368421055</c:v>
                </c:pt>
                <c:pt idx="173">
                  <c:v>89.1</c:v>
                </c:pt>
                <c:pt idx="174">
                  <c:v>89.621052631578948</c:v>
                </c:pt>
                <c:pt idx="175">
                  <c:v>90.142105263157902</c:v>
                </c:pt>
                <c:pt idx="176">
                  <c:v>90.663157894736841</c:v>
                </c:pt>
                <c:pt idx="177">
                  <c:v>91.184210526315795</c:v>
                </c:pt>
                <c:pt idx="178">
                  <c:v>91.705263157894734</c:v>
                </c:pt>
                <c:pt idx="179">
                  <c:v>92.226315789473688</c:v>
                </c:pt>
                <c:pt idx="180">
                  <c:v>92.747368421052627</c:v>
                </c:pt>
                <c:pt idx="181">
                  <c:v>93.268421052631581</c:v>
                </c:pt>
                <c:pt idx="182">
                  <c:v>93.78947368421052</c:v>
                </c:pt>
                <c:pt idx="183">
                  <c:v>94.310526315789474</c:v>
                </c:pt>
                <c:pt idx="184">
                  <c:v>94.831578947368428</c:v>
                </c:pt>
                <c:pt idx="185">
                  <c:v>95.352631578947367</c:v>
                </c:pt>
                <c:pt idx="186">
                  <c:v>95.873684210526321</c:v>
                </c:pt>
                <c:pt idx="187">
                  <c:v>96.39473684210526</c:v>
                </c:pt>
                <c:pt idx="188">
                  <c:v>96.915789473684214</c:v>
                </c:pt>
              </c:numCache>
            </c:numRef>
          </c:xVal>
          <c:yVal>
            <c:numRef>
              <c:f>Formes_2!$I$1:$I$200</c:f>
              <c:numCache>
                <c:formatCode>General</c:formatCode>
                <c:ptCount val="200"/>
                <c:pt idx="22">
                  <c:v>1.1985859599981148</c:v>
                </c:pt>
                <c:pt idx="23">
                  <c:v>3.2211940899531837</c:v>
                </c:pt>
                <c:pt idx="24">
                  <c:v>4.2080294538815544</c:v>
                </c:pt>
                <c:pt idx="25">
                  <c:v>4.9037882039419625</c:v>
                </c:pt>
                <c:pt idx="26">
                  <c:v>5.4509256562816342</c:v>
                </c:pt>
                <c:pt idx="27">
                  <c:v>5.8784105428101441</c:v>
                </c:pt>
                <c:pt idx="28">
                  <c:v>6.2695992114300978</c:v>
                </c:pt>
                <c:pt idx="29">
                  <c:v>6.6271546990429284</c:v>
                </c:pt>
                <c:pt idx="30">
                  <c:v>6.9026308683894966</c:v>
                </c:pt>
                <c:pt idx="31">
                  <c:v>7.1579118980108749</c:v>
                </c:pt>
                <c:pt idx="32">
                  <c:v>7.3943372843736981</c:v>
                </c:pt>
                <c:pt idx="33">
                  <c:v>7.6131933464900321</c:v>
                </c:pt>
                <c:pt idx="34">
                  <c:v>7.7779113716315731</c:v>
                </c:pt>
                <c:pt idx="35">
                  <c:v>7.9326628870190934</c:v>
                </c:pt>
                <c:pt idx="36">
                  <c:v>8.0780280871950474</c:v>
                </c:pt>
                <c:pt idx="37">
                  <c:v>8.2145677831817601</c:v>
                </c:pt>
                <c:pt idx="38">
                  <c:v>8.3428220212920259</c:v>
                </c:pt>
                <c:pt idx="39">
                  <c:v>8.4633121493008332</c:v>
                </c:pt>
                <c:pt idx="40">
                  <c:v>8.5500162134333522</c:v>
                </c:pt>
                <c:pt idx="41">
                  <c:v>8.6325987874868844</c:v>
                </c:pt>
                <c:pt idx="42">
                  <c:v>8.7356024784871895</c:v>
                </c:pt>
                <c:pt idx="43">
                  <c:v>8.8095326549463699</c:v>
                </c:pt>
                <c:pt idx="44">
                  <c:v>8.8799737380327173</c:v>
                </c:pt>
                <c:pt idx="45">
                  <c:v>8.9255625351488348</c:v>
                </c:pt>
                <c:pt idx="46">
                  <c:v>8.9903693735974741</c:v>
                </c:pt>
                <c:pt idx="47">
                  <c:v>9.0521445107989713</c:v>
                </c:pt>
                <c:pt idx="48">
                  <c:v>9.091518675338687</c:v>
                </c:pt>
                <c:pt idx="49">
                  <c:v>9.1483836811597392</c:v>
                </c:pt>
                <c:pt idx="50">
                  <c:v>9.1841495544648204</c:v>
                </c:pt>
                <c:pt idx="51">
                  <c:v>9.2183902140237972</c:v>
                </c:pt>
                <c:pt idx="52">
                  <c:v>9.2511446926986203</c:v>
                </c:pt>
                <c:pt idx="53">
                  <c:v>9.2824554551934497</c:v>
                </c:pt>
                <c:pt idx="54">
                  <c:v>9.3123568406660056</c:v>
                </c:pt>
                <c:pt idx="55">
                  <c:v>9.3408856391912281</c:v>
                </c:pt>
                <c:pt idx="56">
                  <c:v>9.3680780233699146</c:v>
                </c:pt>
                <c:pt idx="57">
                  <c:v>9.3939659990595175</c:v>
                </c:pt>
                <c:pt idx="58">
                  <c:v>9.4022080191190156</c:v>
                </c:pt>
                <c:pt idx="59">
                  <c:v>9.4257965032347641</c:v>
                </c:pt>
                <c:pt idx="60">
                  <c:v>9.4320326361019848</c:v>
                </c:pt>
                <c:pt idx="61">
                  <c:v>9.4533823032647817</c:v>
                </c:pt>
                <c:pt idx="62">
                  <c:v>9.4576382263736853</c:v>
                </c:pt>
                <c:pt idx="63">
                  <c:v>9.4768036530353008</c:v>
                </c:pt>
                <c:pt idx="64">
                  <c:v>9.4790969820334023</c:v>
                </c:pt>
                <c:pt idx="65">
                  <c:v>9.4804266417715475</c:v>
                </c:pt>
                <c:pt idx="66">
                  <c:v>9.480790594924331</c:v>
                </c:pt>
                <c:pt idx="67">
                  <c:v>9.4801883908472178</c:v>
                </c:pt>
                <c:pt idx="68">
                  <c:v>9.4786210845693741</c:v>
                </c:pt>
                <c:pt idx="69">
                  <c:v>9.476087204446376</c:v>
                </c:pt>
                <c:pt idx="70">
                  <c:v>9.47258617339876</c:v>
                </c:pt>
                <c:pt idx="71">
                  <c:v>9.4681173539109977</c:v>
                </c:pt>
                <c:pt idx="72">
                  <c:v>9.4626779108896777</c:v>
                </c:pt>
                <c:pt idx="73">
                  <c:v>9.4562657790440223</c:v>
                </c:pt>
                <c:pt idx="74">
                  <c:v>9.4488797219487424</c:v>
                </c:pt>
                <c:pt idx="75">
                  <c:v>9.4405166324731802</c:v>
                </c:pt>
                <c:pt idx="76">
                  <c:v>9.4311744012478265</c:v>
                </c:pt>
                <c:pt idx="77">
                  <c:v>9.4051340186861534</c:v>
                </c:pt>
                <c:pt idx="78">
                  <c:v>9.3938238157744411</c:v>
                </c:pt>
                <c:pt idx="79">
                  <c:v>9.3815235448777656</c:v>
                </c:pt>
                <c:pt idx="80">
                  <c:v>9.3524303596503042</c:v>
                </c:pt>
                <c:pt idx="81">
                  <c:v>9.338140863137788</c:v>
                </c:pt>
                <c:pt idx="82">
                  <c:v>9.3228446792508883</c:v>
                </c:pt>
                <c:pt idx="83">
                  <c:v>9.2906721503514138</c:v>
                </c:pt>
                <c:pt idx="84">
                  <c:v>9.2733581854990721</c:v>
                </c:pt>
                <c:pt idx="85">
                  <c:v>9.2390912109580476</c:v>
                </c:pt>
                <c:pt idx="86">
                  <c:v>9.2197405866613238</c:v>
                </c:pt>
                <c:pt idx="87">
                  <c:v>9.1833655788281838</c:v>
                </c:pt>
                <c:pt idx="88">
                  <c:v>9.1619523169321653</c:v>
                </c:pt>
                <c:pt idx="89">
                  <c:v>9.1234558238342149</c:v>
                </c:pt>
                <c:pt idx="90">
                  <c:v>9.0999636534668156</c:v>
                </c:pt>
                <c:pt idx="91">
                  <c:v>9.059331109061775</c:v>
                </c:pt>
                <c:pt idx="92">
                  <c:v>9.0175958663427487</c:v>
                </c:pt>
                <c:pt idx="93">
                  <c:v>8.9909451459254033</c:v>
                </c:pt>
                <c:pt idx="94">
                  <c:v>8.9470541626490743</c:v>
                </c:pt>
                <c:pt idx="95">
                  <c:v>8.9020559561382377</c:v>
                </c:pt>
                <c:pt idx="96">
                  <c:v>8.8721927001371395</c:v>
                </c:pt>
                <c:pt idx="97">
                  <c:v>8.8250141036508225</c:v>
                </c:pt>
                <c:pt idx="98">
                  <c:v>8.776723797188847</c:v>
                </c:pt>
                <c:pt idx="99">
                  <c:v>8.7435911902121983</c:v>
                </c:pt>
                <c:pt idx="100">
                  <c:v>8.6930947340770501</c:v>
                </c:pt>
                <c:pt idx="101">
                  <c:v>8.641476585930695</c:v>
                </c:pt>
                <c:pt idx="102">
                  <c:v>8.5887375690837882</c:v>
                </c:pt>
                <c:pt idx="103">
                  <c:v>8.5511688794955152</c:v>
                </c:pt>
                <c:pt idx="104">
                  <c:v>8.4961940584486086</c:v>
                </c:pt>
                <c:pt idx="105">
                  <c:v>8.4400872102764062</c:v>
                </c:pt>
                <c:pt idx="106">
                  <c:v>8.382849736586607</c:v>
                </c:pt>
                <c:pt idx="107">
                  <c:v>8.3244808796880498</c:v>
                </c:pt>
                <c:pt idx="108">
                  <c:v>8.2649774068595274</c:v>
                </c:pt>
                <c:pt idx="109">
                  <c:v>8.2206051131293805</c:v>
                </c:pt>
                <c:pt idx="110">
                  <c:v>8.1588273345131945</c:v>
                </c:pt>
                <c:pt idx="111">
                  <c:v>8.0959112887008828</c:v>
                </c:pt>
                <c:pt idx="112">
                  <c:v>8.0318595727744899</c:v>
                </c:pt>
                <c:pt idx="113">
                  <c:v>7.9666681746208283</c:v>
                </c:pt>
                <c:pt idx="114">
                  <c:v>7.9003390064069743</c:v>
                </c:pt>
                <c:pt idx="115">
                  <c:v>7.8328695658914871</c:v>
                </c:pt>
                <c:pt idx="116">
                  <c:v>7.7642683921817515</c:v>
                </c:pt>
                <c:pt idx="117">
                  <c:v>7.6945303113904302</c:v>
                </c:pt>
                <c:pt idx="118">
                  <c:v>7.6236603318957759</c:v>
                </c:pt>
                <c:pt idx="119">
                  <c:v>7.551662624789051</c:v>
                </c:pt>
                <c:pt idx="120">
                  <c:v>7.4785300612287138</c:v>
                </c:pt>
                <c:pt idx="121">
                  <c:v>7.4042795755388688</c:v>
                </c:pt>
                <c:pt idx="122">
                  <c:v>7.3289046140592005</c:v>
                </c:pt>
                <c:pt idx="123">
                  <c:v>7.2524197801139323</c:v>
                </c:pt>
                <c:pt idx="124">
                  <c:v>7.1748133010339066</c:v>
                </c:pt>
                <c:pt idx="125">
                  <c:v>7.09609909385237</c:v>
                </c:pt>
                <c:pt idx="126">
                  <c:v>7.0162941328293833</c:v>
                </c:pt>
                <c:pt idx="127">
                  <c:v>6.935386214382568</c:v>
                </c:pt>
                <c:pt idx="128">
                  <c:v>6.8379888316862321</c:v>
                </c:pt>
                <c:pt idx="129">
                  <c:v>6.75500320374484</c:v>
                </c:pt>
                <c:pt idx="130">
                  <c:v>6.6709537906347105</c:v>
                </c:pt>
                <c:pt idx="131">
                  <c:v>6.5858564201611305</c:v>
                </c:pt>
                <c:pt idx="132">
                  <c:v>6.4996937098296268</c:v>
                </c:pt>
                <c:pt idx="133">
                  <c:v>6.397529366968322</c:v>
                </c:pt>
                <c:pt idx="134">
                  <c:v>6.3094331062547457</c:v>
                </c:pt>
                <c:pt idx="135">
                  <c:v>6.2203193482859813</c:v>
                </c:pt>
                <c:pt idx="136">
                  <c:v>6.1302230096399652</c:v>
                </c:pt>
                <c:pt idx="137">
                  <c:v>6.0245724407896288</c:v>
                </c:pt>
                <c:pt idx="138">
                  <c:v>5.9326584369544033</c:v>
                </c:pt>
                <c:pt idx="139">
                  <c:v>5.8398012566311959</c:v>
                </c:pt>
                <c:pt idx="140">
                  <c:v>5.7317974660502884</c:v>
                </c:pt>
                <c:pt idx="141">
                  <c:v>5.6372507421906883</c:v>
                </c:pt>
                <c:pt idx="142">
                  <c:v>5.5418058826324685</c:v>
                </c:pt>
                <c:pt idx="143">
                  <c:v>5.431694750887325</c:v>
                </c:pt>
                <c:pt idx="144">
                  <c:v>5.3346957030116915</c:v>
                </c:pt>
                <c:pt idx="145">
                  <c:v>5.2233365232524385</c:v>
                </c:pt>
                <c:pt idx="146">
                  <c:v>5.1248951862230498</c:v>
                </c:pt>
                <c:pt idx="147">
                  <c:v>5.0124165262378311</c:v>
                </c:pt>
                <c:pt idx="148">
                  <c:v>4.8995040970975623</c:v>
                </c:pt>
                <c:pt idx="149">
                  <c:v>4.7991934576960924</c:v>
                </c:pt>
                <c:pt idx="150">
                  <c:v>4.6853969513541731</c:v>
                </c:pt>
                <c:pt idx="151">
                  <c:v>4.5712607430185876</c:v>
                </c:pt>
                <c:pt idx="152">
                  <c:v>4.4693684121030799</c:v>
                </c:pt>
                <c:pt idx="153">
                  <c:v>4.3545796498326261</c:v>
                </c:pt>
                <c:pt idx="154">
                  <c:v>4.2395392035371353</c:v>
                </c:pt>
                <c:pt idx="155">
                  <c:v>4.1243924589232268</c:v>
                </c:pt>
                <c:pt idx="156">
                  <c:v>4.0091050976409797</c:v>
                </c:pt>
                <c:pt idx="157">
                  <c:v>3.8937645157011476</c:v>
                </c:pt>
                <c:pt idx="158">
                  <c:v>3.7784121999343458</c:v>
                </c:pt>
                <c:pt idx="159">
                  <c:v>3.6631275088731643</c:v>
                </c:pt>
                <c:pt idx="160">
                  <c:v>3.547879409770951</c:v>
                </c:pt>
                <c:pt idx="161">
                  <c:v>3.4327197417742772</c:v>
                </c:pt>
                <c:pt idx="162">
                  <c:v>3.3070830736594097</c:v>
                </c:pt>
                <c:pt idx="163">
                  <c:v>3.192584597858247</c:v>
                </c:pt>
                <c:pt idx="164">
                  <c:v>3.0783425515515566</c:v>
                </c:pt>
                <c:pt idx="165">
                  <c:v>2.9543593480439729</c:v>
                </c:pt>
                <c:pt idx="166">
                  <c:v>2.8311796593927561</c:v>
                </c:pt>
                <c:pt idx="167">
                  <c:v>2.7185325097215802</c:v>
                </c:pt>
                <c:pt idx="168">
                  <c:v>2.596976570216412</c:v>
                </c:pt>
                <c:pt idx="169">
                  <c:v>2.476379962721392</c:v>
                </c:pt>
                <c:pt idx="170">
                  <c:v>2.3569139601285665</c:v>
                </c:pt>
                <c:pt idx="171">
                  <c:v>2.2385488806593394</c:v>
                </c:pt>
                <c:pt idx="172">
                  <c:v>2.1128875659999857</c:v>
                </c:pt>
                <c:pt idx="173">
                  <c:v>1.9973410665659102</c:v>
                </c:pt>
                <c:pt idx="174">
                  <c:v>1.8750829582184088</c:v>
                </c:pt>
                <c:pt idx="175">
                  <c:v>1.7547741478302874</c:v>
                </c:pt>
                <c:pt idx="176">
                  <c:v>1.6289718724070488</c:v>
                </c:pt>
                <c:pt idx="177">
                  <c:v>1.5132019564609966</c:v>
                </c:pt>
                <c:pt idx="178">
                  <c:v>1.3927012762204933</c:v>
                </c:pt>
                <c:pt idx="179">
                  <c:v>1.2750836345170917</c:v>
                </c:pt>
                <c:pt idx="180">
                  <c:v>1.1542168447105219</c:v>
                </c:pt>
                <c:pt idx="181">
                  <c:v>1.0371767931901721</c:v>
                </c:pt>
                <c:pt idx="182">
                  <c:v>0.918284151896956</c:v>
                </c:pt>
                <c:pt idx="183">
                  <c:v>0.80457711589877934</c:v>
                </c:pt>
                <c:pt idx="184">
                  <c:v>0.685398140666584</c:v>
                </c:pt>
                <c:pt idx="185">
                  <c:v>0.5682848507297602</c:v>
                </c:pt>
                <c:pt idx="186">
                  <c:v>0.45022012993840399</c:v>
                </c:pt>
                <c:pt idx="187">
                  <c:v>0.32997116967837825</c:v>
                </c:pt>
                <c:pt idx="188">
                  <c:v>0.20459197230809395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B-41E0-9379-39AE74483614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Formes_2!$J$1:$J$200</c:f>
              <c:numCache>
                <c:formatCode>General</c:formatCode>
                <c:ptCount val="200"/>
                <c:pt idx="8">
                  <c:v>3.1263157894736842</c:v>
                </c:pt>
                <c:pt idx="9">
                  <c:v>3.6473684210526316</c:v>
                </c:pt>
                <c:pt idx="10">
                  <c:v>4.1684210526315786</c:v>
                </c:pt>
                <c:pt idx="11">
                  <c:v>4.689473684210526</c:v>
                </c:pt>
                <c:pt idx="12">
                  <c:v>5.2105263157894735</c:v>
                </c:pt>
                <c:pt idx="13">
                  <c:v>5.7315789473684209</c:v>
                </c:pt>
                <c:pt idx="14">
                  <c:v>6.2526315789473683</c:v>
                </c:pt>
                <c:pt idx="15">
                  <c:v>6.7736842105263158</c:v>
                </c:pt>
                <c:pt idx="16">
                  <c:v>7.2947368421052632</c:v>
                </c:pt>
                <c:pt idx="17">
                  <c:v>7.8157894736842106</c:v>
                </c:pt>
                <c:pt idx="18">
                  <c:v>8.3368421052631572</c:v>
                </c:pt>
                <c:pt idx="19">
                  <c:v>8.8578947368421055</c:v>
                </c:pt>
                <c:pt idx="20">
                  <c:v>9.378947368421052</c:v>
                </c:pt>
                <c:pt idx="21">
                  <c:v>9.9</c:v>
                </c:pt>
                <c:pt idx="22">
                  <c:v>10.421052631578947</c:v>
                </c:pt>
                <c:pt idx="23">
                  <c:v>10.942105263157895</c:v>
                </c:pt>
                <c:pt idx="24">
                  <c:v>11.463157894736842</c:v>
                </c:pt>
                <c:pt idx="25">
                  <c:v>11.98421052631579</c:v>
                </c:pt>
                <c:pt idx="26">
                  <c:v>12.505263157894737</c:v>
                </c:pt>
                <c:pt idx="27">
                  <c:v>13.026315789473685</c:v>
                </c:pt>
                <c:pt idx="28">
                  <c:v>13.547368421052632</c:v>
                </c:pt>
                <c:pt idx="29">
                  <c:v>14.06842105263158</c:v>
                </c:pt>
                <c:pt idx="30">
                  <c:v>14.589473684210526</c:v>
                </c:pt>
                <c:pt idx="31">
                  <c:v>15.110526315789473</c:v>
                </c:pt>
                <c:pt idx="32">
                  <c:v>15.631578947368421</c:v>
                </c:pt>
                <c:pt idx="33">
                  <c:v>16.152631578947368</c:v>
                </c:pt>
                <c:pt idx="34">
                  <c:v>16.673684210526314</c:v>
                </c:pt>
                <c:pt idx="35">
                  <c:v>17.194736842105264</c:v>
                </c:pt>
                <c:pt idx="36">
                  <c:v>17.715789473684211</c:v>
                </c:pt>
                <c:pt idx="37">
                  <c:v>18.236842105263158</c:v>
                </c:pt>
                <c:pt idx="38">
                  <c:v>18.757894736842104</c:v>
                </c:pt>
                <c:pt idx="39">
                  <c:v>19.278947368421054</c:v>
                </c:pt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  <c:pt idx="130">
                  <c:v>66.694736842105257</c:v>
                </c:pt>
                <c:pt idx="131">
                  <c:v>67.215789473684211</c:v>
                </c:pt>
                <c:pt idx="132">
                  <c:v>67.736842105263165</c:v>
                </c:pt>
                <c:pt idx="133">
                  <c:v>68.257894736842104</c:v>
                </c:pt>
                <c:pt idx="134">
                  <c:v>68.778947368421058</c:v>
                </c:pt>
                <c:pt idx="135">
                  <c:v>69.3</c:v>
                </c:pt>
                <c:pt idx="136">
                  <c:v>69.821052631578951</c:v>
                </c:pt>
                <c:pt idx="137">
                  <c:v>70.34210526315789</c:v>
                </c:pt>
                <c:pt idx="138">
                  <c:v>70.863157894736844</c:v>
                </c:pt>
                <c:pt idx="139">
                  <c:v>71.384210526315783</c:v>
                </c:pt>
                <c:pt idx="140">
                  <c:v>71.905263157894737</c:v>
                </c:pt>
                <c:pt idx="141">
                  <c:v>72.426315789473691</c:v>
                </c:pt>
                <c:pt idx="142">
                  <c:v>72.94736842105263</c:v>
                </c:pt>
                <c:pt idx="143">
                  <c:v>73.468421052631584</c:v>
                </c:pt>
                <c:pt idx="144">
                  <c:v>73.989473684210523</c:v>
                </c:pt>
                <c:pt idx="145">
                  <c:v>74.510526315789477</c:v>
                </c:pt>
                <c:pt idx="146">
                  <c:v>75.031578947368416</c:v>
                </c:pt>
                <c:pt idx="147">
                  <c:v>75.55263157894737</c:v>
                </c:pt>
                <c:pt idx="148">
                  <c:v>76.073684210526309</c:v>
                </c:pt>
                <c:pt idx="149">
                  <c:v>76.594736842105263</c:v>
                </c:pt>
                <c:pt idx="150">
                  <c:v>77.115789473684217</c:v>
                </c:pt>
                <c:pt idx="151">
                  <c:v>77.636842105263156</c:v>
                </c:pt>
                <c:pt idx="152">
                  <c:v>78.15789473684211</c:v>
                </c:pt>
                <c:pt idx="153">
                  <c:v>78.678947368421049</c:v>
                </c:pt>
                <c:pt idx="154">
                  <c:v>79.2</c:v>
                </c:pt>
                <c:pt idx="155">
                  <c:v>79.721052631578942</c:v>
                </c:pt>
                <c:pt idx="156">
                  <c:v>80.242105263157896</c:v>
                </c:pt>
                <c:pt idx="157">
                  <c:v>80.763157894736835</c:v>
                </c:pt>
                <c:pt idx="158">
                  <c:v>81.284210526315789</c:v>
                </c:pt>
                <c:pt idx="159">
                  <c:v>81.805263157894743</c:v>
                </c:pt>
                <c:pt idx="160">
                  <c:v>82.326315789473682</c:v>
                </c:pt>
                <c:pt idx="161">
                  <c:v>82.847368421052636</c:v>
                </c:pt>
                <c:pt idx="162">
                  <c:v>83.368421052631575</c:v>
                </c:pt>
                <c:pt idx="163">
                  <c:v>83.889473684210529</c:v>
                </c:pt>
                <c:pt idx="164">
                  <c:v>84.410526315789468</c:v>
                </c:pt>
                <c:pt idx="165">
                  <c:v>84.931578947368422</c:v>
                </c:pt>
                <c:pt idx="166">
                  <c:v>85.452631578947361</c:v>
                </c:pt>
                <c:pt idx="167">
                  <c:v>85.973684210526315</c:v>
                </c:pt>
                <c:pt idx="168">
                  <c:v>86.494736842105269</c:v>
                </c:pt>
                <c:pt idx="169">
                  <c:v>87.015789473684208</c:v>
                </c:pt>
                <c:pt idx="170">
                  <c:v>87.536842105263162</c:v>
                </c:pt>
                <c:pt idx="171">
                  <c:v>88.057894736842101</c:v>
                </c:pt>
                <c:pt idx="172">
                  <c:v>88.578947368421055</c:v>
                </c:pt>
                <c:pt idx="173">
                  <c:v>89.1</c:v>
                </c:pt>
                <c:pt idx="174">
                  <c:v>89.621052631578948</c:v>
                </c:pt>
                <c:pt idx="175">
                  <c:v>90.142105263157902</c:v>
                </c:pt>
                <c:pt idx="176">
                  <c:v>90.663157894736841</c:v>
                </c:pt>
                <c:pt idx="177">
                  <c:v>91.184210526315795</c:v>
                </c:pt>
                <c:pt idx="178">
                  <c:v>91.705263157894734</c:v>
                </c:pt>
                <c:pt idx="179">
                  <c:v>92.226315789473688</c:v>
                </c:pt>
                <c:pt idx="180">
                  <c:v>92.747368421052627</c:v>
                </c:pt>
                <c:pt idx="181">
                  <c:v>93.268421052631581</c:v>
                </c:pt>
                <c:pt idx="182">
                  <c:v>93.78947368421052</c:v>
                </c:pt>
                <c:pt idx="183">
                  <c:v>94.310526315789474</c:v>
                </c:pt>
                <c:pt idx="184">
                  <c:v>94.831578947368428</c:v>
                </c:pt>
                <c:pt idx="185">
                  <c:v>95.352631578947367</c:v>
                </c:pt>
                <c:pt idx="186">
                  <c:v>95.873684210526321</c:v>
                </c:pt>
                <c:pt idx="187">
                  <c:v>96.39473684210526</c:v>
                </c:pt>
                <c:pt idx="188">
                  <c:v>96.915789473684214</c:v>
                </c:pt>
                <c:pt idx="189">
                  <c:v>97.436842105263153</c:v>
                </c:pt>
                <c:pt idx="190">
                  <c:v>97.957894736842107</c:v>
                </c:pt>
                <c:pt idx="191">
                  <c:v>98.478947368421046</c:v>
                </c:pt>
                <c:pt idx="192">
                  <c:v>99</c:v>
                </c:pt>
              </c:numCache>
            </c:numRef>
          </c:xVal>
          <c:yVal>
            <c:numRef>
              <c:f>Formes_2!$K$1:$K$200</c:f>
              <c:numCache>
                <c:formatCode>General</c:formatCode>
                <c:ptCount val="200"/>
                <c:pt idx="8">
                  <c:v>1.8882657328965924</c:v>
                </c:pt>
                <c:pt idx="9">
                  <c:v>3.6720724510715779</c:v>
                </c:pt>
                <c:pt idx="10">
                  <c:v>4.6988551241386167</c:v>
                </c:pt>
                <c:pt idx="11">
                  <c:v>5.4306105097484316</c:v>
                </c:pt>
                <c:pt idx="12">
                  <c:v>6.0048109961863148</c:v>
                </c:pt>
                <c:pt idx="13">
                  <c:v>6.4065330878521269</c:v>
                </c:pt>
                <c:pt idx="14">
                  <c:v>6.8131988376510026</c:v>
                </c:pt>
                <c:pt idx="15">
                  <c:v>7.133899127579383</c:v>
                </c:pt>
                <c:pt idx="16">
                  <c:v>7.3869827097259044</c:v>
                </c:pt>
                <c:pt idx="17">
                  <c:v>7.6500530184903335</c:v>
                </c:pt>
                <c:pt idx="18">
                  <c:v>7.8583506873890761</c:v>
                </c:pt>
                <c:pt idx="19">
                  <c:v>8.0488316603506931</c:v>
                </c:pt>
                <c:pt idx="20">
                  <c:v>8.2000225719599733</c:v>
                </c:pt>
                <c:pt idx="21">
                  <c:v>8.3408630175742431</c:v>
                </c:pt>
                <c:pt idx="22">
                  <c:v>8.4722229867056669</c:v>
                </c:pt>
                <c:pt idx="23">
                  <c:v>8.5949338461158291</c:v>
                </c:pt>
                <c:pt idx="24">
                  <c:v>8.7097961180384367</c:v>
                </c:pt>
                <c:pt idx="25">
                  <c:v>8.8019715370834213</c:v>
                </c:pt>
                <c:pt idx="26">
                  <c:v>8.8897956475314963</c:v>
                </c:pt>
                <c:pt idx="27">
                  <c:v>8.9736250562542867</c:v>
                </c:pt>
                <c:pt idx="28">
                  <c:v>9.0538019222115391</c:v>
                </c:pt>
                <c:pt idx="29">
                  <c:v>9.1306527809696547</c:v>
                </c:pt>
                <c:pt idx="30">
                  <c:v>9.1922771152979301</c:v>
                </c:pt>
                <c:pt idx="31">
                  <c:v>9.2520212871572376</c:v>
                </c:pt>
                <c:pt idx="32">
                  <c:v>9.3100127266310295</c:v>
                </c:pt>
                <c:pt idx="33">
                  <c:v>9.3663721221166441</c:v>
                </c:pt>
                <c:pt idx="34">
                  <c:v>9.4099737444106921</c:v>
                </c:pt>
                <c:pt idx="35">
                  <c:v>9.4636083047678898</c:v>
                </c:pt>
                <c:pt idx="36">
                  <c:v>9.5049258191641215</c:v>
                </c:pt>
                <c:pt idx="37">
                  <c:v>9.5561450152045957</c:v>
                </c:pt>
                <c:pt idx="38">
                  <c:v>9.595381552493194</c:v>
                </c:pt>
                <c:pt idx="39">
                  <c:v>9.6336545819088499</c:v>
                </c:pt>
                <c:pt idx="40">
                  <c:v>9.6709951002955314</c:v>
                </c:pt>
                <c:pt idx="41">
                  <c:v>9.7074308730882368</c:v>
                </c:pt>
                <c:pt idx="42">
                  <c:v>9.7320772854478879</c:v>
                </c:pt>
                <c:pt idx="43">
                  <c:v>9.7667543921271616</c:v>
                </c:pt>
                <c:pt idx="44">
                  <c:v>9.7895598105100312</c:v>
                </c:pt>
                <c:pt idx="45">
                  <c:v>9.8225374059592063</c:v>
                </c:pt>
                <c:pt idx="46">
                  <c:v>9.8435370381826157</c:v>
                </c:pt>
                <c:pt idx="47">
                  <c:v>9.8748686151740621</c:v>
                </c:pt>
                <c:pt idx="48">
                  <c:v>9.8940907762241324</c:v>
                </c:pt>
                <c:pt idx="49">
                  <c:v>9.9123825037862723</c:v>
                </c:pt>
                <c:pt idx="50">
                  <c:v>9.9297470323362944</c:v>
                </c:pt>
                <c:pt idx="51">
                  <c:v>9.9578317118767075</c:v>
                </c:pt>
                <c:pt idx="52">
                  <c:v>9.973452999248174</c:v>
                </c:pt>
                <c:pt idx="53">
                  <c:v>9.9881567765105217</c:v>
                </c:pt>
                <c:pt idx="54">
                  <c:v>10.001939748400988</c:v>
                </c:pt>
                <c:pt idx="55">
                  <c:v>10.014804844868525</c:v>
                </c:pt>
                <c:pt idx="56">
                  <c:v>10.01458067815777</c:v>
                </c:pt>
                <c:pt idx="57">
                  <c:v>10.025503236251364</c:v>
                </c:pt>
                <c:pt idx="58">
                  <c:v>10.035506344692859</c:v>
                </c:pt>
                <c:pt idx="59">
                  <c:v>10.044589702831139</c:v>
                </c:pt>
                <c:pt idx="60">
                  <c:v>10.052750283888486</c:v>
                </c:pt>
                <c:pt idx="61">
                  <c:v>10.047277820563231</c:v>
                </c:pt>
                <c:pt idx="62">
                  <c:v>10.053483623987731</c:v>
                </c:pt>
                <c:pt idx="63">
                  <c:v>10.058761007038576</c:v>
                </c:pt>
                <c:pt idx="64">
                  <c:v>10.05008373304274</c:v>
                </c:pt>
                <c:pt idx="65">
                  <c:v>10.05339211133753</c:v>
                </c:pt>
                <c:pt idx="66">
                  <c:v>10.055761200881035</c:v>
                </c:pt>
                <c:pt idx="67">
                  <c:v>10.043866696901981</c:v>
                </c:pt>
                <c:pt idx="68">
                  <c:v>10.044247788483398</c:v>
                </c:pt>
                <c:pt idx="69">
                  <c:v>10.030166621089291</c:v>
                </c:pt>
                <c:pt idx="70">
                  <c:v>10.028544778427321</c:v>
                </c:pt>
                <c:pt idx="71">
                  <c:v>10.012268980180751</c:v>
                </c:pt>
                <c:pt idx="72">
                  <c:v>10.008628927029127</c:v>
                </c:pt>
                <c:pt idx="73">
                  <c:v>9.9901484061019463</c:v>
                </c:pt>
                <c:pt idx="74">
                  <c:v>9.9844713112202577</c:v>
                </c:pt>
                <c:pt idx="75">
                  <c:v>9.9637771333527887</c:v>
                </c:pt>
                <c:pt idx="76">
                  <c:v>9.9419336409965133</c:v>
                </c:pt>
                <c:pt idx="77">
                  <c:v>9.933125607174178</c:v>
                </c:pt>
                <c:pt idx="78">
                  <c:v>9.9090512970938658</c:v>
                </c:pt>
                <c:pt idx="79">
                  <c:v>9.8838231578789681</c:v>
                </c:pt>
                <c:pt idx="80">
                  <c:v>9.8718381652664142</c:v>
                </c:pt>
                <c:pt idx="81">
                  <c:v>9.8443625459172424</c:v>
                </c:pt>
                <c:pt idx="82">
                  <c:v>9.8157242512909342</c:v>
                </c:pt>
                <c:pt idx="83">
                  <c:v>9.8005175745349291</c:v>
                </c:pt>
                <c:pt idx="84">
                  <c:v>9.7696101434094818</c:v>
                </c:pt>
                <c:pt idx="85">
                  <c:v>9.7375355360272948</c:v>
                </c:pt>
                <c:pt idx="86">
                  <c:v>9.7190533625497366</c:v>
                </c:pt>
                <c:pt idx="87">
                  <c:v>9.6846871912480239</c:v>
                </c:pt>
                <c:pt idx="88">
                  <c:v>9.6491403510013996</c:v>
                </c:pt>
                <c:pt idx="89">
                  <c:v>9.6124167537593443</c:v>
                </c:pt>
                <c:pt idx="90">
                  <c:v>9.5894615491971358</c:v>
                </c:pt>
                <c:pt idx="91">
                  <c:v>9.5504130441829762</c:v>
                </c:pt>
                <c:pt idx="92">
                  <c:v>9.5101739997338832</c:v>
                </c:pt>
                <c:pt idx="93">
                  <c:v>9.4687456514485149</c:v>
                </c:pt>
                <c:pt idx="94">
                  <c:v>9.4261223288010143</c:v>
                </c:pt>
                <c:pt idx="95">
                  <c:v>9.3823027452462604</c:v>
                </c:pt>
                <c:pt idx="96">
                  <c:v>9.3524236469495126</c:v>
                </c:pt>
                <c:pt idx="97">
                  <c:v>9.3062241445054568</c:v>
                </c:pt>
                <c:pt idx="98">
                  <c:v>9.2588198958432333</c:v>
                </c:pt>
                <c:pt idx="99">
                  <c:v>9.2101999959076331</c:v>
                </c:pt>
                <c:pt idx="100">
                  <c:v>9.1603701307595315</c:v>
                </c:pt>
                <c:pt idx="101">
                  <c:v>9.1093229716773738</c:v>
                </c:pt>
                <c:pt idx="102">
                  <c:v>9.057058082622456</c:v>
                </c:pt>
                <c:pt idx="103">
                  <c:v>9.0187945656569894</c:v>
                </c:pt>
                <c:pt idx="104">
                  <c:v>8.9640835362732112</c:v>
                </c:pt>
                <c:pt idx="105">
                  <c:v>8.9081411871906333</c:v>
                </c:pt>
                <c:pt idx="106">
                  <c:v>8.8509656485193489</c:v>
                </c:pt>
                <c:pt idx="107">
                  <c:v>8.7925552772882085</c:v>
                </c:pt>
                <c:pt idx="108">
                  <c:v>8.7329070327121983</c:v>
                </c:pt>
                <c:pt idx="109">
                  <c:v>8.6720210345091076</c:v>
                </c:pt>
                <c:pt idx="110">
                  <c:v>8.6098915384645878</c:v>
                </c:pt>
                <c:pt idx="111">
                  <c:v>8.5465187082998586</c:v>
                </c:pt>
                <c:pt idx="112">
                  <c:v>8.4819056701139868</c:v>
                </c:pt>
                <c:pt idx="113">
                  <c:v>8.4160431384449481</c:v>
                </c:pt>
                <c:pt idx="114">
                  <c:v>8.3489334475922341</c:v>
                </c:pt>
                <c:pt idx="115">
                  <c:v>8.2805758780890564</c:v>
                </c:pt>
                <c:pt idx="116">
                  <c:v>8.210971378574035</c:v>
                </c:pt>
                <c:pt idx="117">
                  <c:v>8.1401199015118166</c:v>
                </c:pt>
                <c:pt idx="118">
                  <c:v>8.0680201573793333</c:v>
                </c:pt>
                <c:pt idx="119">
                  <c:v>7.9946768069320155</c:v>
                </c:pt>
                <c:pt idx="120">
                  <c:v>7.9200821805245081</c:v>
                </c:pt>
                <c:pt idx="121">
                  <c:v>7.8442542203747587</c:v>
                </c:pt>
                <c:pt idx="122">
                  <c:v>7.7671806364336504</c:v>
                </c:pt>
                <c:pt idx="123">
                  <c:v>7.6888766120472845</c:v>
                </c:pt>
                <c:pt idx="124">
                  <c:v>7.6093278371509641</c:v>
                </c:pt>
                <c:pt idx="125">
                  <c:v>7.5285535553034029</c:v>
                </c:pt>
                <c:pt idx="126">
                  <c:v>7.4465595797944797</c:v>
                </c:pt>
                <c:pt idx="127">
                  <c:v>7.3633418222613152</c:v>
                </c:pt>
                <c:pt idx="128">
                  <c:v>7.2789167629876381</c:v>
                </c:pt>
                <c:pt idx="129">
                  <c:v>7.1791797033556382</c:v>
                </c:pt>
                <c:pt idx="130">
                  <c:v>7.0924423234898049</c:v>
                </c:pt>
                <c:pt idx="131">
                  <c:v>7.0045249668585727</c:v>
                </c:pt>
                <c:pt idx="132">
                  <c:v>6.915419288412795</c:v>
                </c:pt>
                <c:pt idx="133">
                  <c:v>6.8251557523895361</c:v>
                </c:pt>
                <c:pt idx="134">
                  <c:v>6.7337420926591625</c:v>
                </c:pt>
                <c:pt idx="135">
                  <c:v>6.6276828589815757</c:v>
                </c:pt>
                <c:pt idx="136">
                  <c:v>6.5341146849681788</c:v>
                </c:pt>
                <c:pt idx="137">
                  <c:v>6.4394202366827145</c:v>
                </c:pt>
                <c:pt idx="138">
                  <c:v>6.3436308456563912</c:v>
                </c:pt>
                <c:pt idx="139">
                  <c:v>6.2467703362360485</c:v>
                </c:pt>
                <c:pt idx="140">
                  <c:v>6.1359484261442896</c:v>
                </c:pt>
                <c:pt idx="141">
                  <c:v>6.0371062220531453</c:v>
                </c:pt>
                <c:pt idx="142">
                  <c:v>5.9372294292150656</c:v>
                </c:pt>
                <c:pt idx="143">
                  <c:v>5.8363569885033515</c:v>
                </c:pt>
                <c:pt idx="144">
                  <c:v>5.722169441613671</c:v>
                </c:pt>
                <c:pt idx="145">
                  <c:v>5.6194840689014756</c:v>
                </c:pt>
                <c:pt idx="146">
                  <c:v>5.5158710658413419</c:v>
                </c:pt>
                <c:pt idx="147">
                  <c:v>5.3994654805791846</c:v>
                </c:pt>
                <c:pt idx="148">
                  <c:v>5.294196385604975</c:v>
                </c:pt>
                <c:pt idx="149">
                  <c:v>5.1880692455940309</c:v>
                </c:pt>
                <c:pt idx="150">
                  <c:v>5.0697495620408812</c:v>
                </c:pt>
                <c:pt idx="151">
                  <c:v>4.9621484979456891</c:v>
                </c:pt>
                <c:pt idx="152">
                  <c:v>4.842757496619468</c:v>
                </c:pt>
                <c:pt idx="153">
                  <c:v>4.7338247293877931</c:v>
                </c:pt>
                <c:pt idx="154">
                  <c:v>4.6134543268880588</c:v>
                </c:pt>
                <c:pt idx="155">
                  <c:v>4.5032886586996685</c:v>
                </c:pt>
                <c:pt idx="156">
                  <c:v>4.3821631868289899</c:v>
                </c:pt>
                <c:pt idx="157">
                  <c:v>4.2708967639175555</c:v>
                </c:pt>
                <c:pt idx="158">
                  <c:v>4.1491568388026749</c:v>
                </c:pt>
                <c:pt idx="159">
                  <c:v>4.0273020208770731</c:v>
                </c:pt>
                <c:pt idx="160">
                  <c:v>3.9147796977310976</c:v>
                </c:pt>
                <c:pt idx="161">
                  <c:v>3.792469861030757</c:v>
                </c:pt>
                <c:pt idx="162">
                  <c:v>3.6701316893222291</c:v>
                </c:pt>
                <c:pt idx="163">
                  <c:v>3.5478478603991266</c:v>
                </c:pt>
                <c:pt idx="164">
                  <c:v>3.4342738282546414</c:v>
                </c:pt>
                <c:pt idx="165">
                  <c:v>3.3119155954322239</c:v>
                </c:pt>
                <c:pt idx="166">
                  <c:v>3.1896947475869424</c:v>
                </c:pt>
                <c:pt idx="167">
                  <c:v>3.0676610879860657</c:v>
                </c:pt>
                <c:pt idx="168">
                  <c:v>2.9458854847867197</c:v>
                </c:pt>
                <c:pt idx="169">
                  <c:v>2.8243661298191713</c:v>
                </c:pt>
                <c:pt idx="170">
                  <c:v>2.7031845092271176</c:v>
                </c:pt>
                <c:pt idx="171">
                  <c:v>2.582339129791805</c:v>
                </c:pt>
                <c:pt idx="172">
                  <c:v>2.4551204725105116</c:v>
                </c:pt>
                <c:pt idx="173">
                  <c:v>2.3354217594258477</c:v>
                </c:pt>
                <c:pt idx="174">
                  <c:v>2.2162127335896944</c:v>
                </c:pt>
                <c:pt idx="175">
                  <c:v>2.0914434436984104</c:v>
                </c:pt>
                <c:pt idx="176">
                  <c:v>1.9736423436664925</c:v>
                </c:pt>
                <c:pt idx="177">
                  <c:v>1.8508700216336857</c:v>
                </c:pt>
                <c:pt idx="178">
                  <c:v>1.7293826528130274</c:v>
                </c:pt>
                <c:pt idx="179">
                  <c:v>1.6089819990615157</c:v>
                </c:pt>
                <c:pt idx="180">
                  <c:v>1.490116325542151</c:v>
                </c:pt>
                <c:pt idx="181">
                  <c:v>1.3724952693010406</c:v>
                </c:pt>
                <c:pt idx="182">
                  <c:v>1.2562886535580122</c:v>
                </c:pt>
                <c:pt idx="183">
                  <c:v>1.1377285776134536</c:v>
                </c:pt>
                <c:pt idx="184">
                  <c:v>1.0248787402824355</c:v>
                </c:pt>
                <c:pt idx="185">
                  <c:v>0.9103645377129157</c:v>
                </c:pt>
                <c:pt idx="186">
                  <c:v>0.79799962070159958</c:v>
                </c:pt>
                <c:pt idx="187">
                  <c:v>0.68818872214880633</c:v>
                </c:pt>
                <c:pt idx="188">
                  <c:v>0.57841732064195184</c:v>
                </c:pt>
                <c:pt idx="189">
                  <c:v>0.47193708970403758</c:v>
                </c:pt>
                <c:pt idx="190">
                  <c:v>0.36887320306350424</c:v>
                </c:pt>
                <c:pt idx="191">
                  <c:v>0.26800207190225711</c:v>
                </c:pt>
                <c:pt idx="192">
                  <c:v>0.17176459471093403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AB-41E0-9379-39AE74483614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Formes_2!$L$1:$L$200</c:f>
              <c:numCache>
                <c:formatCode>General</c:formatCode>
                <c:ptCount val="200"/>
                <c:pt idx="2">
                  <c:v>0</c:v>
                </c:pt>
                <c:pt idx="3">
                  <c:v>0.52105263157894732</c:v>
                </c:pt>
                <c:pt idx="4">
                  <c:v>1.0421052631578946</c:v>
                </c:pt>
                <c:pt idx="5">
                  <c:v>1.5631578947368421</c:v>
                </c:pt>
                <c:pt idx="6">
                  <c:v>2.0842105263157893</c:v>
                </c:pt>
                <c:pt idx="7">
                  <c:v>2.6052631578947367</c:v>
                </c:pt>
                <c:pt idx="8">
                  <c:v>3.1263157894736842</c:v>
                </c:pt>
                <c:pt idx="9">
                  <c:v>3.6473684210526316</c:v>
                </c:pt>
                <c:pt idx="10">
                  <c:v>4.1684210526315786</c:v>
                </c:pt>
                <c:pt idx="11">
                  <c:v>4.689473684210526</c:v>
                </c:pt>
                <c:pt idx="12">
                  <c:v>5.2105263157894735</c:v>
                </c:pt>
                <c:pt idx="13">
                  <c:v>5.7315789473684209</c:v>
                </c:pt>
                <c:pt idx="14">
                  <c:v>6.2526315789473683</c:v>
                </c:pt>
                <c:pt idx="15">
                  <c:v>6.7736842105263158</c:v>
                </c:pt>
                <c:pt idx="16">
                  <c:v>7.2947368421052632</c:v>
                </c:pt>
                <c:pt idx="17">
                  <c:v>7.8157894736842106</c:v>
                </c:pt>
                <c:pt idx="18">
                  <c:v>8.3368421052631572</c:v>
                </c:pt>
                <c:pt idx="19">
                  <c:v>8.8578947368421055</c:v>
                </c:pt>
                <c:pt idx="20">
                  <c:v>9.378947368421052</c:v>
                </c:pt>
                <c:pt idx="21">
                  <c:v>9.9</c:v>
                </c:pt>
                <c:pt idx="22">
                  <c:v>10.421052631578947</c:v>
                </c:pt>
                <c:pt idx="23">
                  <c:v>10.942105263157895</c:v>
                </c:pt>
                <c:pt idx="24">
                  <c:v>11.463157894736842</c:v>
                </c:pt>
                <c:pt idx="25">
                  <c:v>11.98421052631579</c:v>
                </c:pt>
                <c:pt idx="26">
                  <c:v>12.505263157894737</c:v>
                </c:pt>
                <c:pt idx="27">
                  <c:v>13.026315789473685</c:v>
                </c:pt>
                <c:pt idx="28">
                  <c:v>13.547368421052632</c:v>
                </c:pt>
                <c:pt idx="29">
                  <c:v>14.06842105263158</c:v>
                </c:pt>
                <c:pt idx="30">
                  <c:v>14.589473684210526</c:v>
                </c:pt>
                <c:pt idx="31">
                  <c:v>15.110526315789473</c:v>
                </c:pt>
                <c:pt idx="32">
                  <c:v>15.631578947368421</c:v>
                </c:pt>
                <c:pt idx="33">
                  <c:v>16.152631578947368</c:v>
                </c:pt>
                <c:pt idx="34">
                  <c:v>16.673684210526314</c:v>
                </c:pt>
                <c:pt idx="35">
                  <c:v>17.194736842105264</c:v>
                </c:pt>
                <c:pt idx="36">
                  <c:v>17.715789473684211</c:v>
                </c:pt>
                <c:pt idx="37">
                  <c:v>18.236842105263158</c:v>
                </c:pt>
                <c:pt idx="38">
                  <c:v>18.757894736842104</c:v>
                </c:pt>
                <c:pt idx="39">
                  <c:v>19.278947368421054</c:v>
                </c:pt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  <c:pt idx="130">
                  <c:v>66.694736842105257</c:v>
                </c:pt>
                <c:pt idx="131">
                  <c:v>67.215789473684211</c:v>
                </c:pt>
                <c:pt idx="132">
                  <c:v>67.736842105263165</c:v>
                </c:pt>
                <c:pt idx="133">
                  <c:v>68.257894736842104</c:v>
                </c:pt>
                <c:pt idx="134">
                  <c:v>68.778947368421058</c:v>
                </c:pt>
                <c:pt idx="135">
                  <c:v>69.3</c:v>
                </c:pt>
                <c:pt idx="136">
                  <c:v>69.821052631578951</c:v>
                </c:pt>
                <c:pt idx="137">
                  <c:v>70.34210526315789</c:v>
                </c:pt>
                <c:pt idx="138">
                  <c:v>70.863157894736844</c:v>
                </c:pt>
                <c:pt idx="139">
                  <c:v>71.384210526315783</c:v>
                </c:pt>
                <c:pt idx="140">
                  <c:v>71.905263157894737</c:v>
                </c:pt>
                <c:pt idx="141">
                  <c:v>72.426315789473691</c:v>
                </c:pt>
                <c:pt idx="142">
                  <c:v>72.94736842105263</c:v>
                </c:pt>
                <c:pt idx="143">
                  <c:v>73.468421052631584</c:v>
                </c:pt>
                <c:pt idx="144">
                  <c:v>73.989473684210523</c:v>
                </c:pt>
                <c:pt idx="145">
                  <c:v>74.510526315789477</c:v>
                </c:pt>
                <c:pt idx="146">
                  <c:v>75.031578947368416</c:v>
                </c:pt>
                <c:pt idx="147">
                  <c:v>75.55263157894737</c:v>
                </c:pt>
                <c:pt idx="148">
                  <c:v>76.073684210526309</c:v>
                </c:pt>
                <c:pt idx="149">
                  <c:v>76.594736842105263</c:v>
                </c:pt>
                <c:pt idx="150">
                  <c:v>77.115789473684217</c:v>
                </c:pt>
                <c:pt idx="151">
                  <c:v>77.636842105263156</c:v>
                </c:pt>
                <c:pt idx="152">
                  <c:v>78.15789473684211</c:v>
                </c:pt>
                <c:pt idx="153">
                  <c:v>78.678947368421049</c:v>
                </c:pt>
                <c:pt idx="154">
                  <c:v>79.2</c:v>
                </c:pt>
                <c:pt idx="155">
                  <c:v>79.721052631578942</c:v>
                </c:pt>
                <c:pt idx="156">
                  <c:v>80.242105263157896</c:v>
                </c:pt>
                <c:pt idx="157">
                  <c:v>80.763157894736835</c:v>
                </c:pt>
                <c:pt idx="158">
                  <c:v>81.284210526315789</c:v>
                </c:pt>
                <c:pt idx="159">
                  <c:v>81.805263157894743</c:v>
                </c:pt>
                <c:pt idx="160">
                  <c:v>82.326315789473682</c:v>
                </c:pt>
                <c:pt idx="161">
                  <c:v>82.847368421052636</c:v>
                </c:pt>
                <c:pt idx="162">
                  <c:v>83.368421052631575</c:v>
                </c:pt>
                <c:pt idx="163">
                  <c:v>83.889473684210529</c:v>
                </c:pt>
                <c:pt idx="164">
                  <c:v>84.410526315789468</c:v>
                </c:pt>
                <c:pt idx="165">
                  <c:v>84.931578947368422</c:v>
                </c:pt>
                <c:pt idx="166">
                  <c:v>85.452631578947361</c:v>
                </c:pt>
                <c:pt idx="167">
                  <c:v>85.973684210526315</c:v>
                </c:pt>
                <c:pt idx="168">
                  <c:v>86.494736842105269</c:v>
                </c:pt>
                <c:pt idx="169">
                  <c:v>87.015789473684208</c:v>
                </c:pt>
                <c:pt idx="170">
                  <c:v>87.536842105263162</c:v>
                </c:pt>
                <c:pt idx="171">
                  <c:v>88.057894736842101</c:v>
                </c:pt>
                <c:pt idx="172">
                  <c:v>88.578947368421055</c:v>
                </c:pt>
                <c:pt idx="173">
                  <c:v>89.1</c:v>
                </c:pt>
                <c:pt idx="174">
                  <c:v>89.621052631578948</c:v>
                </c:pt>
                <c:pt idx="175">
                  <c:v>90.142105263157902</c:v>
                </c:pt>
                <c:pt idx="176">
                  <c:v>90.663157894736841</c:v>
                </c:pt>
                <c:pt idx="177">
                  <c:v>91.184210526315795</c:v>
                </c:pt>
                <c:pt idx="178">
                  <c:v>91.705263157894734</c:v>
                </c:pt>
                <c:pt idx="179">
                  <c:v>92.226315789473688</c:v>
                </c:pt>
                <c:pt idx="180">
                  <c:v>92.747368421052627</c:v>
                </c:pt>
                <c:pt idx="181">
                  <c:v>93.268421052631581</c:v>
                </c:pt>
                <c:pt idx="182">
                  <c:v>93.78947368421052</c:v>
                </c:pt>
                <c:pt idx="183">
                  <c:v>94.310526315789474</c:v>
                </c:pt>
                <c:pt idx="184">
                  <c:v>94.831578947368428</c:v>
                </c:pt>
                <c:pt idx="185">
                  <c:v>95.352631578947367</c:v>
                </c:pt>
                <c:pt idx="186">
                  <c:v>95.873684210526321</c:v>
                </c:pt>
                <c:pt idx="187">
                  <c:v>96.39473684210526</c:v>
                </c:pt>
                <c:pt idx="188">
                  <c:v>96.915789473684214</c:v>
                </c:pt>
                <c:pt idx="189">
                  <c:v>97.436842105263153</c:v>
                </c:pt>
                <c:pt idx="190">
                  <c:v>97.957894736842107</c:v>
                </c:pt>
                <c:pt idx="191">
                  <c:v>98.478947368421046</c:v>
                </c:pt>
                <c:pt idx="192">
                  <c:v>99</c:v>
                </c:pt>
              </c:numCache>
            </c:numRef>
          </c:xVal>
          <c:yVal>
            <c:numRef>
              <c:f>Formes_2!$M$1:$M$200</c:f>
              <c:numCache>
                <c:formatCode>General</c:formatCode>
                <c:ptCount val="200"/>
                <c:pt idx="2">
                  <c:v>7.1134487897494676</c:v>
                </c:pt>
                <c:pt idx="3">
                  <c:v>7.3803078126207371</c:v>
                </c:pt>
                <c:pt idx="4">
                  <c:v>7.5945383802920947</c:v>
                </c:pt>
                <c:pt idx="5">
                  <c:v>7.7855665945692429</c:v>
                </c:pt>
                <c:pt idx="6">
                  <c:v>7.9428241219762388</c:v>
                </c:pt>
                <c:pt idx="7">
                  <c:v>8.0868897199215333</c:v>
                </c:pt>
                <c:pt idx="8">
                  <c:v>8.2088024700666189</c:v>
                </c:pt>
                <c:pt idx="9">
                  <c:v>8.3234660495515502</c:v>
                </c:pt>
                <c:pt idx="10">
                  <c:v>8.4319119640755567</c:v>
                </c:pt>
                <c:pt idx="11">
                  <c:v>8.5267945311415581</c:v>
                </c:pt>
                <c:pt idx="12">
                  <c:v>8.6184198870607105</c:v>
                </c:pt>
                <c:pt idx="13">
                  <c:v>8.7072901896478552</c:v>
                </c:pt>
                <c:pt idx="14">
                  <c:v>8.7865846084156658</c:v>
                </c:pt>
                <c:pt idx="15">
                  <c:v>8.8643891105601504</c:v>
                </c:pt>
                <c:pt idx="16">
                  <c:v>8.933773526828908</c:v>
                </c:pt>
                <c:pt idx="17">
                  <c:v>9.009292763175047</c:v>
                </c:pt>
                <c:pt idx="18">
                  <c:v>9.0767492339959883</c:v>
                </c:pt>
                <c:pt idx="19">
                  <c:v>9.136115951654844</c:v>
                </c:pt>
                <c:pt idx="20">
                  <c:v>9.2019163758940934</c:v>
                </c:pt>
                <c:pt idx="21">
                  <c:v>9.2670301689784651</c:v>
                </c:pt>
                <c:pt idx="22">
                  <c:v>9.3239231558538087</c:v>
                </c:pt>
                <c:pt idx="23">
                  <c:v>9.3799785861096208</c:v>
                </c:pt>
                <c:pt idx="24">
                  <c:v>9.435226229042021</c:v>
                </c:pt>
                <c:pt idx="25">
                  <c:v>9.4896913998959604</c:v>
                </c:pt>
                <c:pt idx="26">
                  <c:v>9.5434010765538986</c:v>
                </c:pt>
                <c:pt idx="27">
                  <c:v>9.5963835532964659</c:v>
                </c:pt>
                <c:pt idx="28">
                  <c:v>9.6400198552065088</c:v>
                </c:pt>
                <c:pt idx="29">
                  <c:v>9.6914185300164348</c:v>
                </c:pt>
                <c:pt idx="30">
                  <c:v>9.7331388711766831</c:v>
                </c:pt>
                <c:pt idx="31">
                  <c:v>9.7830212826216112</c:v>
                </c:pt>
                <c:pt idx="32">
                  <c:v>9.8228741724542203</c:v>
                </c:pt>
                <c:pt idx="33">
                  <c:v>9.861724923202317</c:v>
                </c:pt>
                <c:pt idx="34">
                  <c:v>9.8995796982570194</c:v>
                </c:pt>
                <c:pt idx="35">
                  <c:v>9.9364506660182279</c:v>
                </c:pt>
                <c:pt idx="36">
                  <c:v>9.9723429465873021</c:v>
                </c:pt>
                <c:pt idx="37">
                  <c:v>10.007269245282451</c:v>
                </c:pt>
                <c:pt idx="38">
                  <c:v>10.041230468740537</c:v>
                </c:pt>
                <c:pt idx="39">
                  <c:v>10.074236980009982</c:v>
                </c:pt>
                <c:pt idx="40">
                  <c:v>10.106293506950992</c:v>
                </c:pt>
                <c:pt idx="41">
                  <c:v>10.137405178784064</c:v>
                </c:pt>
                <c:pt idx="42">
                  <c:v>10.167576885102269</c:v>
                </c:pt>
                <c:pt idx="43">
                  <c:v>10.185524837298578</c:v>
                </c:pt>
                <c:pt idx="44">
                  <c:v>10.213652025016957</c:v>
                </c:pt>
                <c:pt idx="45">
                  <c:v>10.24084838820842</c:v>
                </c:pt>
                <c:pt idx="46">
                  <c:v>10.267117667522617</c:v>
                </c:pt>
                <c:pt idx="47">
                  <c:v>10.280539962674609</c:v>
                </c:pt>
                <c:pt idx="48">
                  <c:v>10.304784252983916</c:v>
                </c:pt>
                <c:pt idx="49">
                  <c:v>10.315907765909007</c:v>
                </c:pt>
                <c:pt idx="50">
                  <c:v>10.338133543912067</c:v>
                </c:pt>
                <c:pt idx="51">
                  <c:v>10.359433315749788</c:v>
                </c:pt>
                <c:pt idx="52">
                  <c:v>10.367174641678655</c:v>
                </c:pt>
                <c:pt idx="53">
                  <c:v>10.386456906058754</c:v>
                </c:pt>
                <c:pt idx="54">
                  <c:v>10.391915542382719</c:v>
                </c:pt>
                <c:pt idx="55">
                  <c:v>10.396187906997188</c:v>
                </c:pt>
                <c:pt idx="56">
                  <c:v>10.412353396947832</c:v>
                </c:pt>
                <c:pt idx="57">
                  <c:v>10.414348001424386</c:v>
                </c:pt>
                <c:pt idx="58">
                  <c:v>10.428480982561634</c:v>
                </c:pt>
                <c:pt idx="59">
                  <c:v>10.428196598822424</c:v>
                </c:pt>
                <c:pt idx="60">
                  <c:v>10.440287203108312</c:v>
                </c:pt>
                <c:pt idx="61">
                  <c:v>10.437718332797107</c:v>
                </c:pt>
                <c:pt idx="62">
                  <c:v>10.433966541817178</c:v>
                </c:pt>
                <c:pt idx="63">
                  <c:v>10.442896979957391</c:v>
                </c:pt>
                <c:pt idx="64">
                  <c:v>10.436854178451433</c:v>
                </c:pt>
                <c:pt idx="65">
                  <c:v>10.429627260726086</c:v>
                </c:pt>
                <c:pt idx="66">
                  <c:v>10.435367169191364</c:v>
                </c:pt>
                <c:pt idx="67">
                  <c:v>10.425838802434193</c:v>
                </c:pt>
                <c:pt idx="68">
                  <c:v>10.415122610203234</c:v>
                </c:pt>
                <c:pt idx="69">
                  <c:v>10.403218007170915</c:v>
                </c:pt>
                <c:pt idx="70">
                  <c:v>10.404606009012699</c:v>
                </c:pt>
                <c:pt idx="71">
                  <c:v>10.390382298854812</c:v>
                </c:pt>
                <c:pt idx="72">
                  <c:v>10.374965335221786</c:v>
                </c:pt>
                <c:pt idx="73">
                  <c:v>10.358352059927192</c:v>
                </c:pt>
                <c:pt idx="74">
                  <c:v>10.35531870221439</c:v>
                </c:pt>
                <c:pt idx="75">
                  <c:v>10.336365359587614</c:v>
                </c:pt>
                <c:pt idx="76">
                  <c:v>10.316211037403221</c:v>
                </c:pt>
                <c:pt idx="77">
                  <c:v>10.294853071211595</c:v>
                </c:pt>
                <c:pt idx="78">
                  <c:v>10.272288933559912</c:v>
                </c:pt>
                <c:pt idx="79">
                  <c:v>10.263592424106472</c:v>
                </c:pt>
                <c:pt idx="80">
                  <c:v>10.238652282045189</c:v>
                </c:pt>
                <c:pt idx="81">
                  <c:v>10.21250154783317</c:v>
                </c:pt>
                <c:pt idx="82">
                  <c:v>10.185133262252632</c:v>
                </c:pt>
                <c:pt idx="83">
                  <c:v>10.156547403812853</c:v>
                </c:pt>
                <c:pt idx="84">
                  <c:v>10.126739184929452</c:v>
                </c:pt>
                <c:pt idx="85">
                  <c:v>10.111044990913765</c:v>
                </c:pt>
                <c:pt idx="86">
                  <c:v>10.078815480557843</c:v>
                </c:pt>
                <c:pt idx="87">
                  <c:v>10.045355573347615</c:v>
                </c:pt>
                <c:pt idx="88">
                  <c:v>10.010656955739957</c:v>
                </c:pt>
                <c:pt idx="89">
                  <c:v>9.974722084375351</c:v>
                </c:pt>
                <c:pt idx="90">
                  <c:v>9.9375477574820472</c:v>
                </c:pt>
                <c:pt idx="91">
                  <c:v>9.8991293977994115</c:v>
                </c:pt>
                <c:pt idx="92">
                  <c:v>9.85946182738369</c:v>
                </c:pt>
                <c:pt idx="93">
                  <c:v>9.8185453797307929</c:v>
                </c:pt>
                <c:pt idx="94">
                  <c:v>9.7919012227785309</c:v>
                </c:pt>
                <c:pt idx="95">
                  <c:v>9.7484750359612633</c:v>
                </c:pt>
                <c:pt idx="96">
                  <c:v>9.7037828043741836</c:v>
                </c:pt>
                <c:pt idx="97">
                  <c:v>9.6578227233644576</c:v>
                </c:pt>
                <c:pt idx="98">
                  <c:v>9.610595054869826</c:v>
                </c:pt>
                <c:pt idx="99">
                  <c:v>9.5620851845131654</c:v>
                </c:pt>
                <c:pt idx="100">
                  <c:v>9.5123015208771236</c:v>
                </c:pt>
                <c:pt idx="101">
                  <c:v>9.4612335809802541</c:v>
                </c:pt>
                <c:pt idx="102">
                  <c:v>9.4088788544340503</c:v>
                </c:pt>
                <c:pt idx="103">
                  <c:v>9.3552298557151214</c:v>
                </c:pt>
                <c:pt idx="104">
                  <c:v>9.3002916984650916</c:v>
                </c:pt>
                <c:pt idx="105">
                  <c:v>9.2440548224495966</c:v>
                </c:pt>
                <c:pt idx="106">
                  <c:v>9.1865171876332745</c:v>
                </c:pt>
                <c:pt idx="107">
                  <c:v>9.1276749182147832</c:v>
                </c:pt>
                <c:pt idx="108">
                  <c:v>9.0675261459670935</c:v>
                </c:pt>
                <c:pt idx="109">
                  <c:v>9.0060683281277178</c:v>
                </c:pt>
                <c:pt idx="110">
                  <c:v>8.9432946335868362</c:v>
                </c:pt>
                <c:pt idx="111">
                  <c:v>8.8792059781754595</c:v>
                </c:pt>
                <c:pt idx="112">
                  <c:v>8.8138053337778963</c:v>
                </c:pt>
                <c:pt idx="113">
                  <c:v>8.7470791831377337</c:v>
                </c:pt>
                <c:pt idx="114">
                  <c:v>8.6790306023233015</c:v>
                </c:pt>
                <c:pt idx="115">
                  <c:v>8.6096615953628053</c:v>
                </c:pt>
                <c:pt idx="116">
                  <c:v>8.5389656620418002</c:v>
                </c:pt>
                <c:pt idx="117">
                  <c:v>8.4669484343701917</c:v>
                </c:pt>
                <c:pt idx="118">
                  <c:v>8.3936028577095154</c:v>
                </c:pt>
                <c:pt idx="119">
                  <c:v>8.3189347268857752</c:v>
                </c:pt>
                <c:pt idx="120">
                  <c:v>8.2429359635713162</c:v>
                </c:pt>
                <c:pt idx="121">
                  <c:v>8.1656256762791308</c:v>
                </c:pt>
                <c:pt idx="122">
                  <c:v>8.0869880495497419</c:v>
                </c:pt>
                <c:pt idx="123">
                  <c:v>8.0070364415168065</c:v>
                </c:pt>
                <c:pt idx="124">
                  <c:v>7.9257578124075785</c:v>
                </c:pt>
                <c:pt idx="125">
                  <c:v>7.843175554855768</c:v>
                </c:pt>
                <c:pt idx="126">
                  <c:v>7.7592846562029001</c:v>
                </c:pt>
                <c:pt idx="127">
                  <c:v>7.6740883727538112</c:v>
                </c:pt>
                <c:pt idx="128">
                  <c:v>7.5876000542658506</c:v>
                </c:pt>
                <c:pt idx="129">
                  <c:v>7.4998114248421412</c:v>
                </c:pt>
                <c:pt idx="130">
                  <c:v>7.410745194623293</c:v>
                </c:pt>
                <c:pt idx="131">
                  <c:v>7.3204037293573396</c:v>
                </c:pt>
                <c:pt idx="132">
                  <c:v>7.2152758035278</c:v>
                </c:pt>
                <c:pt idx="133">
                  <c:v>7.1225304427321321</c:v>
                </c:pt>
                <c:pt idx="134">
                  <c:v>7.0285521943664442</c:v>
                </c:pt>
                <c:pt idx="135">
                  <c:v>6.9333266824194695</c:v>
                </c:pt>
                <c:pt idx="136">
                  <c:v>6.8368944547046375</c:v>
                </c:pt>
                <c:pt idx="137">
                  <c:v>6.7392469908151194</c:v>
                </c:pt>
                <c:pt idx="138">
                  <c:v>6.6404062063907761</c:v>
                </c:pt>
                <c:pt idx="139">
                  <c:v>6.5404091584307995</c:v>
                </c:pt>
                <c:pt idx="140">
                  <c:v>6.4267615348267331</c:v>
                </c:pt>
                <c:pt idx="141">
                  <c:v>6.3246004707946311</c:v>
                </c:pt>
                <c:pt idx="142">
                  <c:v>6.2213151895891166</c:v>
                </c:pt>
                <c:pt idx="143">
                  <c:v>6.1169393317010154</c:v>
                </c:pt>
                <c:pt idx="144">
                  <c:v>6.0114688041071869</c:v>
                </c:pt>
                <c:pt idx="145">
                  <c:v>5.8932408446208546</c:v>
                </c:pt>
                <c:pt idx="146">
                  <c:v>5.7858568831984636</c:v>
                </c:pt>
                <c:pt idx="147">
                  <c:v>5.677439453337402</c:v>
                </c:pt>
                <c:pt idx="148">
                  <c:v>5.5680396377894272</c:v>
                </c:pt>
                <c:pt idx="149">
                  <c:v>5.4576857724872934</c:v>
                </c:pt>
                <c:pt idx="150">
                  <c:v>5.3355637361237287</c:v>
                </c:pt>
                <c:pt idx="151">
                  <c:v>5.223561408640176</c:v>
                </c:pt>
                <c:pt idx="152">
                  <c:v>5.1106744213177171</c:v>
                </c:pt>
                <c:pt idx="153">
                  <c:v>4.9866704723168152</c:v>
                </c:pt>
                <c:pt idx="154">
                  <c:v>4.872263358289505</c:v>
                </c:pt>
                <c:pt idx="155">
                  <c:v>4.7571069230038452</c:v>
                </c:pt>
                <c:pt idx="156">
                  <c:v>4.6411801887670894</c:v>
                </c:pt>
                <c:pt idx="157">
                  <c:v>4.515037981146838</c:v>
                </c:pt>
                <c:pt idx="158">
                  <c:v>4.3979164687114949</c:v>
                </c:pt>
                <c:pt idx="159">
                  <c:v>4.2710770494191008</c:v>
                </c:pt>
                <c:pt idx="160">
                  <c:v>4.1528670007647399</c:v>
                </c:pt>
                <c:pt idx="161">
                  <c:v>4.0340653096870689</c:v>
                </c:pt>
                <c:pt idx="162">
                  <c:v>3.9062438348055699</c:v>
                </c:pt>
                <c:pt idx="163">
                  <c:v>3.7866239239081319</c:v>
                </c:pt>
                <c:pt idx="164">
                  <c:v>3.658508270597439</c:v>
                </c:pt>
                <c:pt idx="165">
                  <c:v>3.5381673903126458</c:v>
                </c:pt>
                <c:pt idx="166">
                  <c:v>3.4098314995511148</c:v>
                </c:pt>
                <c:pt idx="167">
                  <c:v>3.2889154211117355</c:v>
                </c:pt>
                <c:pt idx="168">
                  <c:v>3.1605753349055812</c:v>
                </c:pt>
                <c:pt idx="169">
                  <c:v>3.0324140376745952</c:v>
                </c:pt>
                <c:pt idx="170">
                  <c:v>2.9110736855887906</c:v>
                </c:pt>
                <c:pt idx="171">
                  <c:v>2.7830729938651748</c:v>
                </c:pt>
                <c:pt idx="172">
                  <c:v>2.6554089050768925</c:v>
                </c:pt>
                <c:pt idx="173">
                  <c:v>2.5339712469265803</c:v>
                </c:pt>
                <c:pt idx="174">
                  <c:v>2.406738367697443</c:v>
                </c:pt>
                <c:pt idx="175">
                  <c:v>2.2798849805430792</c:v>
                </c:pt>
                <c:pt idx="176">
                  <c:v>2.1535172375845679</c:v>
                </c:pt>
                <c:pt idx="177">
                  <c:v>2.0275570315559239</c:v>
                </c:pt>
                <c:pt idx="178">
                  <c:v>1.9022121213623304</c:v>
                </c:pt>
                <c:pt idx="179">
                  <c:v>1.7772428004893568</c:v>
                </c:pt>
                <c:pt idx="180">
                  <c:v>1.65308378475857</c:v>
                </c:pt>
                <c:pt idx="181">
                  <c:v>1.5294404583402372</c:v>
                </c:pt>
                <c:pt idx="182">
                  <c:v>1.4064140641409859</c:v>
                </c:pt>
                <c:pt idx="183">
                  <c:v>1.2841211822443439</c:v>
                </c:pt>
                <c:pt idx="184">
                  <c:v>1.1594925322711589</c:v>
                </c:pt>
                <c:pt idx="185">
                  <c:v>1.0389557341959854</c:v>
                </c:pt>
                <c:pt idx="186">
                  <c:v>0.91659070806258292</c:v>
                </c:pt>
                <c:pt idx="187">
                  <c:v>0.79791834879550616</c:v>
                </c:pt>
                <c:pt idx="188">
                  <c:v>0.67813667327658278</c:v>
                </c:pt>
                <c:pt idx="189">
                  <c:v>0.55987265016163235</c:v>
                </c:pt>
                <c:pt idx="190">
                  <c:v>0.44296035772087106</c:v>
                </c:pt>
                <c:pt idx="191">
                  <c:v>0.32759545177063387</c:v>
                </c:pt>
                <c:pt idx="192">
                  <c:v>0.21387067922785324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AB-41E0-9379-39AE74483614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Formes_2!$N$1:$N$200</c:f>
              <c:numCache>
                <c:formatCode>General</c:formatCode>
                <c:ptCount val="200"/>
                <c:pt idx="2">
                  <c:v>0</c:v>
                </c:pt>
                <c:pt idx="3">
                  <c:v>0.52105263157894732</c:v>
                </c:pt>
                <c:pt idx="4">
                  <c:v>1.0421052631578946</c:v>
                </c:pt>
                <c:pt idx="5">
                  <c:v>1.5631578947368421</c:v>
                </c:pt>
                <c:pt idx="6">
                  <c:v>2.0842105263157893</c:v>
                </c:pt>
                <c:pt idx="7">
                  <c:v>2.6052631578947367</c:v>
                </c:pt>
                <c:pt idx="8">
                  <c:v>3.1263157894736842</c:v>
                </c:pt>
                <c:pt idx="9">
                  <c:v>3.6473684210526316</c:v>
                </c:pt>
                <c:pt idx="10">
                  <c:v>4.1684210526315786</c:v>
                </c:pt>
                <c:pt idx="11">
                  <c:v>4.689473684210526</c:v>
                </c:pt>
                <c:pt idx="12">
                  <c:v>5.2105263157894735</c:v>
                </c:pt>
                <c:pt idx="13">
                  <c:v>5.7315789473684209</c:v>
                </c:pt>
                <c:pt idx="14">
                  <c:v>6.2526315789473683</c:v>
                </c:pt>
                <c:pt idx="15">
                  <c:v>6.7736842105263158</c:v>
                </c:pt>
                <c:pt idx="16">
                  <c:v>7.2947368421052632</c:v>
                </c:pt>
                <c:pt idx="17">
                  <c:v>7.8157894736842106</c:v>
                </c:pt>
                <c:pt idx="18">
                  <c:v>8.3368421052631572</c:v>
                </c:pt>
                <c:pt idx="19">
                  <c:v>8.8578947368421055</c:v>
                </c:pt>
                <c:pt idx="20">
                  <c:v>9.378947368421052</c:v>
                </c:pt>
                <c:pt idx="21">
                  <c:v>9.9</c:v>
                </c:pt>
                <c:pt idx="22">
                  <c:v>10.421052631578947</c:v>
                </c:pt>
                <c:pt idx="23">
                  <c:v>10.942105263157895</c:v>
                </c:pt>
                <c:pt idx="24">
                  <c:v>11.463157894736842</c:v>
                </c:pt>
                <c:pt idx="25">
                  <c:v>11.98421052631579</c:v>
                </c:pt>
                <c:pt idx="26">
                  <c:v>12.505263157894737</c:v>
                </c:pt>
                <c:pt idx="27">
                  <c:v>13.026315789473685</c:v>
                </c:pt>
                <c:pt idx="28">
                  <c:v>13.547368421052632</c:v>
                </c:pt>
                <c:pt idx="29">
                  <c:v>14.06842105263158</c:v>
                </c:pt>
                <c:pt idx="30">
                  <c:v>14.589473684210526</c:v>
                </c:pt>
                <c:pt idx="31">
                  <c:v>15.110526315789473</c:v>
                </c:pt>
                <c:pt idx="32">
                  <c:v>15.631578947368421</c:v>
                </c:pt>
                <c:pt idx="33">
                  <c:v>16.152631578947368</c:v>
                </c:pt>
                <c:pt idx="34">
                  <c:v>16.673684210526314</c:v>
                </c:pt>
                <c:pt idx="35">
                  <c:v>17.194736842105264</c:v>
                </c:pt>
                <c:pt idx="36">
                  <c:v>17.715789473684211</c:v>
                </c:pt>
                <c:pt idx="37">
                  <c:v>18.236842105263158</c:v>
                </c:pt>
                <c:pt idx="38">
                  <c:v>18.757894736842104</c:v>
                </c:pt>
                <c:pt idx="39">
                  <c:v>19.278947368421054</c:v>
                </c:pt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  <c:pt idx="130">
                  <c:v>66.694736842105257</c:v>
                </c:pt>
                <c:pt idx="131">
                  <c:v>67.215789473684211</c:v>
                </c:pt>
                <c:pt idx="132">
                  <c:v>67.736842105263165</c:v>
                </c:pt>
                <c:pt idx="133">
                  <c:v>68.257894736842104</c:v>
                </c:pt>
                <c:pt idx="134">
                  <c:v>68.778947368421058</c:v>
                </c:pt>
                <c:pt idx="135">
                  <c:v>69.3</c:v>
                </c:pt>
                <c:pt idx="136">
                  <c:v>69.821052631578951</c:v>
                </c:pt>
                <c:pt idx="137">
                  <c:v>70.34210526315789</c:v>
                </c:pt>
                <c:pt idx="138">
                  <c:v>70.863157894736844</c:v>
                </c:pt>
                <c:pt idx="139">
                  <c:v>71.384210526315783</c:v>
                </c:pt>
                <c:pt idx="140">
                  <c:v>71.905263157894737</c:v>
                </c:pt>
                <c:pt idx="141">
                  <c:v>72.426315789473691</c:v>
                </c:pt>
                <c:pt idx="142">
                  <c:v>72.94736842105263</c:v>
                </c:pt>
                <c:pt idx="143">
                  <c:v>73.468421052631584</c:v>
                </c:pt>
                <c:pt idx="144">
                  <c:v>73.989473684210523</c:v>
                </c:pt>
                <c:pt idx="145">
                  <c:v>74.510526315789477</c:v>
                </c:pt>
                <c:pt idx="146">
                  <c:v>75.031578947368416</c:v>
                </c:pt>
                <c:pt idx="147">
                  <c:v>75.55263157894737</c:v>
                </c:pt>
                <c:pt idx="148">
                  <c:v>76.073684210526309</c:v>
                </c:pt>
                <c:pt idx="149">
                  <c:v>76.594736842105263</c:v>
                </c:pt>
                <c:pt idx="150">
                  <c:v>77.115789473684217</c:v>
                </c:pt>
                <c:pt idx="151">
                  <c:v>77.636842105263156</c:v>
                </c:pt>
                <c:pt idx="152">
                  <c:v>78.15789473684211</c:v>
                </c:pt>
                <c:pt idx="153">
                  <c:v>78.678947368421049</c:v>
                </c:pt>
                <c:pt idx="154">
                  <c:v>79.2</c:v>
                </c:pt>
                <c:pt idx="155">
                  <c:v>79.721052631578942</c:v>
                </c:pt>
                <c:pt idx="156">
                  <c:v>80.242105263157896</c:v>
                </c:pt>
                <c:pt idx="157">
                  <c:v>80.763157894736835</c:v>
                </c:pt>
                <c:pt idx="158">
                  <c:v>81.284210526315789</c:v>
                </c:pt>
                <c:pt idx="159">
                  <c:v>81.805263157894743</c:v>
                </c:pt>
                <c:pt idx="160">
                  <c:v>82.326315789473682</c:v>
                </c:pt>
                <c:pt idx="161">
                  <c:v>82.847368421052636</c:v>
                </c:pt>
                <c:pt idx="162">
                  <c:v>83.368421052631575</c:v>
                </c:pt>
                <c:pt idx="163">
                  <c:v>83.889473684210529</c:v>
                </c:pt>
                <c:pt idx="164">
                  <c:v>84.410526315789468</c:v>
                </c:pt>
                <c:pt idx="165">
                  <c:v>84.931578947368422</c:v>
                </c:pt>
                <c:pt idx="166">
                  <c:v>85.452631578947361</c:v>
                </c:pt>
                <c:pt idx="167">
                  <c:v>85.973684210526315</c:v>
                </c:pt>
                <c:pt idx="168">
                  <c:v>86.494736842105269</c:v>
                </c:pt>
                <c:pt idx="169">
                  <c:v>87.015789473684208</c:v>
                </c:pt>
                <c:pt idx="170">
                  <c:v>87.536842105263162</c:v>
                </c:pt>
                <c:pt idx="171">
                  <c:v>88.057894736842101</c:v>
                </c:pt>
                <c:pt idx="172">
                  <c:v>88.578947368421055</c:v>
                </c:pt>
                <c:pt idx="173">
                  <c:v>89.1</c:v>
                </c:pt>
                <c:pt idx="174">
                  <c:v>89.621052631578948</c:v>
                </c:pt>
                <c:pt idx="175">
                  <c:v>90.142105263157902</c:v>
                </c:pt>
                <c:pt idx="176">
                  <c:v>90.663157894736841</c:v>
                </c:pt>
                <c:pt idx="177">
                  <c:v>91.184210526315795</c:v>
                </c:pt>
                <c:pt idx="178">
                  <c:v>91.705263157894734</c:v>
                </c:pt>
                <c:pt idx="179">
                  <c:v>92.226315789473688</c:v>
                </c:pt>
                <c:pt idx="180">
                  <c:v>92.747368421052627</c:v>
                </c:pt>
                <c:pt idx="181">
                  <c:v>93.268421052631581</c:v>
                </c:pt>
                <c:pt idx="182">
                  <c:v>93.78947368421052</c:v>
                </c:pt>
                <c:pt idx="183">
                  <c:v>94.310526315789474</c:v>
                </c:pt>
                <c:pt idx="184">
                  <c:v>94.831578947368428</c:v>
                </c:pt>
                <c:pt idx="185">
                  <c:v>95.352631578947367</c:v>
                </c:pt>
                <c:pt idx="186">
                  <c:v>95.873684210526321</c:v>
                </c:pt>
                <c:pt idx="187">
                  <c:v>96.39473684210526</c:v>
                </c:pt>
                <c:pt idx="188">
                  <c:v>96.915789473684214</c:v>
                </c:pt>
                <c:pt idx="189">
                  <c:v>97.436842105263153</c:v>
                </c:pt>
                <c:pt idx="190">
                  <c:v>97.957894736842107</c:v>
                </c:pt>
                <c:pt idx="191">
                  <c:v>98.478947368421046</c:v>
                </c:pt>
                <c:pt idx="192">
                  <c:v>99</c:v>
                </c:pt>
              </c:numCache>
            </c:numRef>
          </c:xVal>
          <c:yVal>
            <c:numRef>
              <c:f>Formes_2!$O$1:$O$200</c:f>
              <c:numCache>
                <c:formatCode>General</c:formatCode>
                <c:ptCount val="200"/>
                <c:pt idx="2">
                  <c:v>8.253700180456951</c:v>
                </c:pt>
                <c:pt idx="3">
                  <c:v>8.343757109716698</c:v>
                </c:pt>
                <c:pt idx="4">
                  <c:v>8.4233391048748825</c:v>
                </c:pt>
                <c:pt idx="5">
                  <c:v>8.508205018493495</c:v>
                </c:pt>
                <c:pt idx="6">
                  <c:v>8.5931259187844482</c:v>
                </c:pt>
                <c:pt idx="7">
                  <c:v>8.6717248223084038</c:v>
                </c:pt>
                <c:pt idx="8">
                  <c:v>8.7498011957452313</c:v>
                </c:pt>
                <c:pt idx="9">
                  <c:v>8.8273418948513243</c:v>
                </c:pt>
                <c:pt idx="10">
                  <c:v>8.9043367560119151</c:v>
                </c:pt>
                <c:pt idx="11">
                  <c:v>8.9807823720788953</c:v>
                </c:pt>
                <c:pt idx="12">
                  <c:v>9.0488993089651988</c:v>
                </c:pt>
                <c:pt idx="13">
                  <c:v>9.1239322496913413</c:v>
                </c:pt>
                <c:pt idx="14">
                  <c:v>9.1900947051961523</c:v>
                </c:pt>
                <c:pt idx="15">
                  <c:v>9.255160659517351</c:v>
                </c:pt>
                <c:pt idx="16">
                  <c:v>9.3278963012592264</c:v>
                </c:pt>
                <c:pt idx="17">
                  <c:v>9.3909895933035088</c:v>
                </c:pt>
                <c:pt idx="18">
                  <c:v>9.4529826159823962</c:v>
                </c:pt>
                <c:pt idx="19">
                  <c:v>9.5138780932363751</c:v>
                </c:pt>
                <c:pt idx="20">
                  <c:v>9.573684690112513</c:v>
                </c:pt>
                <c:pt idx="21">
                  <c:v>9.6324001241896759</c:v>
                </c:pt>
                <c:pt idx="22">
                  <c:v>9.6900346609299142</c:v>
                </c:pt>
                <c:pt idx="23">
                  <c:v>9.7465939444501739</c:v>
                </c:pt>
                <c:pt idx="24">
                  <c:v>9.7914685247145918</c:v>
                </c:pt>
                <c:pt idx="25">
                  <c:v>9.8456661025029604</c:v>
                </c:pt>
                <c:pt idx="26">
                  <c:v>9.8988099314604909</c:v>
                </c:pt>
                <c:pt idx="27">
                  <c:v>9.9397134155521538</c:v>
                </c:pt>
                <c:pt idx="28">
                  <c:v>9.9905445343949708</c:v>
                </c:pt>
                <c:pt idx="29">
                  <c:v>10.040345668351796</c:v>
                </c:pt>
                <c:pt idx="30">
                  <c:v>10.077357632719762</c:v>
                </c:pt>
                <c:pt idx="31">
                  <c:v>10.124893144882103</c:v>
                </c:pt>
                <c:pt idx="32">
                  <c:v>10.171419597407155</c:v>
                </c:pt>
                <c:pt idx="33">
                  <c:v>10.204619304728952</c:v>
                </c:pt>
                <c:pt idx="34">
                  <c:v>10.248923734308914</c:v>
                </c:pt>
                <c:pt idx="35">
                  <c:v>10.279587395006583</c:v>
                </c:pt>
                <c:pt idx="36">
                  <c:v>10.321695981056658</c:v>
                </c:pt>
                <c:pt idx="37">
                  <c:v>10.34985580682754</c:v>
                </c:pt>
                <c:pt idx="38">
                  <c:v>10.376722231638997</c:v>
                </c:pt>
                <c:pt idx="39">
                  <c:v>10.415472115128685</c:v>
                </c:pt>
                <c:pt idx="40">
                  <c:v>10.439875421520023</c:v>
                </c:pt>
                <c:pt idx="41">
                  <c:v>10.47648019956628</c:v>
                </c:pt>
                <c:pt idx="42">
                  <c:v>10.498441486884838</c:v>
                </c:pt>
                <c:pt idx="43">
                  <c:v>10.519144662903715</c:v>
                </c:pt>
                <c:pt idx="44">
                  <c:v>10.552452093517759</c:v>
                </c:pt>
                <c:pt idx="45">
                  <c:v>10.570739942103627</c:v>
                </c:pt>
                <c:pt idx="46">
                  <c:v>10.58778481920135</c:v>
                </c:pt>
                <c:pt idx="47">
                  <c:v>10.617815846483143</c:v>
                </c:pt>
                <c:pt idx="48">
                  <c:v>10.632464843669275</c:v>
                </c:pt>
                <c:pt idx="49">
                  <c:v>10.645881564374768</c:v>
                </c:pt>
                <c:pt idx="50">
                  <c:v>10.658067419925908</c:v>
                </c:pt>
                <c:pt idx="51">
                  <c:v>10.683673874519124</c:v>
                </c:pt>
                <c:pt idx="52">
                  <c:v>10.693480432374299</c:v>
                </c:pt>
                <c:pt idx="53">
                  <c:v>10.702063774972792</c:v>
                </c:pt>
                <c:pt idx="54">
                  <c:v>10.709423474216708</c:v>
                </c:pt>
                <c:pt idx="55">
                  <c:v>10.730602254384703</c:v>
                </c:pt>
                <c:pt idx="56">
                  <c:v>10.735587655603709</c:v>
                </c:pt>
                <c:pt idx="57">
                  <c:v>10.739353672235904</c:v>
                </c:pt>
                <c:pt idx="58">
                  <c:v>10.741899290600104</c:v>
                </c:pt>
                <c:pt idx="59">
                  <c:v>10.743227936307894</c:v>
                </c:pt>
                <c:pt idx="60">
                  <c:v>10.758787240061315</c:v>
                </c:pt>
                <c:pt idx="61">
                  <c:v>10.75773256135523</c:v>
                </c:pt>
                <c:pt idx="62">
                  <c:v>10.755458500265373</c:v>
                </c:pt>
                <c:pt idx="63">
                  <c:v>10.751964094443014</c:v>
                </c:pt>
                <c:pt idx="64">
                  <c:v>10.747247553443763</c:v>
                </c:pt>
                <c:pt idx="65">
                  <c:v>10.741310217591549</c:v>
                </c:pt>
                <c:pt idx="66">
                  <c:v>10.750002002757913</c:v>
                </c:pt>
                <c:pt idx="67">
                  <c:v>10.741661409292515</c:v>
                </c:pt>
                <c:pt idx="68">
                  <c:v>10.732094422298408</c:v>
                </c:pt>
                <c:pt idx="69">
                  <c:v>10.721300920689043</c:v>
                </c:pt>
                <c:pt idx="70">
                  <c:v>10.709277075846991</c:v>
                </c:pt>
                <c:pt idx="71">
                  <c:v>10.696022529504166</c:v>
                </c:pt>
                <c:pt idx="72">
                  <c:v>10.681536163908437</c:v>
                </c:pt>
                <c:pt idx="73">
                  <c:v>10.665815051188446</c:v>
                </c:pt>
                <c:pt idx="74">
                  <c:v>10.665083757747572</c:v>
                </c:pt>
                <c:pt idx="75">
                  <c:v>10.646915237451097</c:v>
                </c:pt>
                <c:pt idx="76">
                  <c:v>10.62750460474567</c:v>
                </c:pt>
                <c:pt idx="77">
                  <c:v>10.606849232464388</c:v>
                </c:pt>
                <c:pt idx="78">
                  <c:v>10.584946281687396</c:v>
                </c:pt>
                <c:pt idx="79">
                  <c:v>10.561794335634499</c:v>
                </c:pt>
                <c:pt idx="80">
                  <c:v>10.537388400581939</c:v>
                </c:pt>
                <c:pt idx="81">
                  <c:v>10.511730559069285</c:v>
                </c:pt>
                <c:pt idx="82">
                  <c:v>10.484813594493986</c:v>
                </c:pt>
                <c:pt idx="83">
                  <c:v>10.456637288625839</c:v>
                </c:pt>
                <c:pt idx="84">
                  <c:v>10.42719469165225</c:v>
                </c:pt>
                <c:pt idx="85">
                  <c:v>10.412944706511444</c:v>
                </c:pt>
                <c:pt idx="86">
                  <c:v>10.380966511439246</c:v>
                </c:pt>
                <c:pt idx="87">
                  <c:v>10.347714951695835</c:v>
                </c:pt>
                <c:pt idx="88">
                  <c:v>10.313178808888274</c:v>
                </c:pt>
                <c:pt idx="89">
                  <c:v>10.277360636788808</c:v>
                </c:pt>
                <c:pt idx="90">
                  <c:v>10.240256944242418</c:v>
                </c:pt>
                <c:pt idx="91">
                  <c:v>10.201863497771448</c:v>
                </c:pt>
                <c:pt idx="92">
                  <c:v>10.162173288857421</c:v>
                </c:pt>
                <c:pt idx="93">
                  <c:v>10.12118720859006</c:v>
                </c:pt>
                <c:pt idx="94">
                  <c:v>10.078895266461902</c:v>
                </c:pt>
                <c:pt idx="95">
                  <c:v>10.03529854450632</c:v>
                </c:pt>
                <c:pt idx="96">
                  <c:v>9.9903886546686298</c:v>
                </c:pt>
                <c:pt idx="97">
                  <c:v>9.9441629458916605</c:v>
                </c:pt>
                <c:pt idx="98">
                  <c:v>9.8966229836413042</c:v>
                </c:pt>
                <c:pt idx="99">
                  <c:v>9.847751118591626</c:v>
                </c:pt>
                <c:pt idx="100">
                  <c:v>9.7975576503335908</c:v>
                </c:pt>
                <c:pt idx="101">
                  <c:v>9.7460307476559151</c:v>
                </c:pt>
                <c:pt idx="102">
                  <c:v>9.6931650304824846</c:v>
                </c:pt>
                <c:pt idx="103">
                  <c:v>9.6389548887469463</c:v>
                </c:pt>
                <c:pt idx="104">
                  <c:v>9.5834057965394237</c:v>
                </c:pt>
                <c:pt idx="105">
                  <c:v>9.5265050543174858</c:v>
                </c:pt>
                <c:pt idx="106">
                  <c:v>9.4682525632939232</c:v>
                </c:pt>
                <c:pt idx="107">
                  <c:v>9.4086416873545957</c:v>
                </c:pt>
                <c:pt idx="108">
                  <c:v>9.3476718512104142</c:v>
                </c:pt>
                <c:pt idx="109">
                  <c:v>9.2853383101882265</c:v>
                </c:pt>
                <c:pt idx="110">
                  <c:v>9.221633614871088</c:v>
                </c:pt>
                <c:pt idx="111">
                  <c:v>9.1565591984372681</c:v>
                </c:pt>
                <c:pt idx="112">
                  <c:v>9.0901193682335695</c:v>
                </c:pt>
                <c:pt idx="113">
                  <c:v>9.0222957265219001</c:v>
                </c:pt>
                <c:pt idx="114">
                  <c:v>8.953093036022242</c:v>
                </c:pt>
                <c:pt idx="115">
                  <c:v>8.882515531771066</c:v>
                </c:pt>
                <c:pt idx="116">
                  <c:v>8.8105503772925076</c:v>
                </c:pt>
                <c:pt idx="117">
                  <c:v>8.7372092295649963</c:v>
                </c:pt>
                <c:pt idx="118">
                  <c:v>8.6624774925211714</c:v>
                </c:pt>
                <c:pt idx="119">
                  <c:v>8.586365837791865</c:v>
                </c:pt>
                <c:pt idx="120">
                  <c:v>8.5088639604111407</c:v>
                </c:pt>
                <c:pt idx="121">
                  <c:v>8.4299913610330535</c:v>
                </c:pt>
                <c:pt idx="122">
                  <c:v>8.3497323289817906</c:v>
                </c:pt>
                <c:pt idx="123">
                  <c:v>8.2680949585730872</c:v>
                </c:pt>
                <c:pt idx="124">
                  <c:v>8.1850708060698789</c:v>
                </c:pt>
                <c:pt idx="125">
                  <c:v>8.1006864164831462</c:v>
                </c:pt>
                <c:pt idx="126">
                  <c:v>8.0149267694824324</c:v>
                </c:pt>
                <c:pt idx="127">
                  <c:v>7.9278006408522073</c:v>
                </c:pt>
                <c:pt idx="128">
                  <c:v>7.8393205439043179</c:v>
                </c:pt>
                <c:pt idx="129">
                  <c:v>7.7494766469675653</c:v>
                </c:pt>
                <c:pt idx="130">
                  <c:v>7.658294039603847</c:v>
                </c:pt>
                <c:pt idx="131">
                  <c:v>7.5657677292789671</c:v>
                </c:pt>
                <c:pt idx="132">
                  <c:v>7.4719191704113559</c:v>
                </c:pt>
                <c:pt idx="133">
                  <c:v>7.3767476141855557</c:v>
                </c:pt>
                <c:pt idx="134">
                  <c:v>7.2802804096948961</c:v>
                </c:pt>
                <c:pt idx="135">
                  <c:v>7.1693959278782389</c:v>
                </c:pt>
                <c:pt idx="136">
                  <c:v>7.0704819872038751</c:v>
                </c:pt>
                <c:pt idx="137">
                  <c:v>6.9702939234888266</c:v>
                </c:pt>
                <c:pt idx="138">
                  <c:v>6.8688434480317513</c:v>
                </c:pt>
                <c:pt idx="139">
                  <c:v>6.7661755388886746</c:v>
                </c:pt>
                <c:pt idx="140">
                  <c:v>6.6622552500182843</c:v>
                </c:pt>
                <c:pt idx="141">
                  <c:v>6.5571452786425874</c:v>
                </c:pt>
                <c:pt idx="142">
                  <c:v>6.4508490766005169</c:v>
                </c:pt>
                <c:pt idx="143">
                  <c:v>6.3433906183630366</c:v>
                </c:pt>
                <c:pt idx="144">
                  <c:v>6.2347764287737313</c:v>
                </c:pt>
                <c:pt idx="145">
                  <c:v>6.1250218929334714</c:v>
                </c:pt>
                <c:pt idx="146">
                  <c:v>6.0028738704876936</c:v>
                </c:pt>
                <c:pt idx="147">
                  <c:v>5.8911274209082674</c:v>
                </c:pt>
                <c:pt idx="148">
                  <c:v>5.7783271364125959</c:v>
                </c:pt>
                <c:pt idx="149">
                  <c:v>5.6645104363547549</c:v>
                </c:pt>
                <c:pt idx="150">
                  <c:v>5.5496856110099717</c:v>
                </c:pt>
                <c:pt idx="151">
                  <c:v>5.4339199312499069</c:v>
                </c:pt>
                <c:pt idx="152">
                  <c:v>5.3171889816336595</c:v>
                </c:pt>
                <c:pt idx="153">
                  <c:v>5.1895574422214565</c:v>
                </c:pt>
                <c:pt idx="154">
                  <c:v>5.0711892652191697</c:v>
                </c:pt>
                <c:pt idx="155">
                  <c:v>4.9519963474260846</c:v>
                </c:pt>
                <c:pt idx="156">
                  <c:v>4.8319763794223984</c:v>
                </c:pt>
                <c:pt idx="157">
                  <c:v>4.7111812162205657</c:v>
                </c:pt>
                <c:pt idx="158">
                  <c:v>4.5806597091625019</c:v>
                </c:pt>
                <c:pt idx="159">
                  <c:v>4.4586179850015313</c:v>
                </c:pt>
                <c:pt idx="160">
                  <c:v>4.3358534091872567</c:v>
                </c:pt>
                <c:pt idx="161">
                  <c:v>4.2124472179890287</c:v>
                </c:pt>
                <c:pt idx="162">
                  <c:v>4.0802801702145519</c:v>
                </c:pt>
                <c:pt idx="163">
                  <c:v>3.9559218518853019</c:v>
                </c:pt>
                <c:pt idx="164">
                  <c:v>3.831034038568248</c:v>
                </c:pt>
                <c:pt idx="165">
                  <c:v>3.7056109545509281</c:v>
                </c:pt>
                <c:pt idx="166">
                  <c:v>3.5724721552848067</c:v>
                </c:pt>
                <c:pt idx="167">
                  <c:v>3.4463427351976117</c:v>
                </c:pt>
                <c:pt idx="168">
                  <c:v>3.3198243994501997</c:v>
                </c:pt>
                <c:pt idx="169">
                  <c:v>3.1864775816817197</c:v>
                </c:pt>
                <c:pt idx="170">
                  <c:v>3.059509970832198</c:v>
                </c:pt>
                <c:pt idx="171">
                  <c:v>2.9321867737587968</c:v>
                </c:pt>
                <c:pt idx="172">
                  <c:v>2.7988967718877173</c:v>
                </c:pt>
                <c:pt idx="173">
                  <c:v>2.6714032938090932</c:v>
                </c:pt>
                <c:pt idx="174">
                  <c:v>2.5383777798818175</c:v>
                </c:pt>
                <c:pt idx="175">
                  <c:v>2.410778340361305</c:v>
                </c:pt>
                <c:pt idx="176">
                  <c:v>2.2830596265912639</c:v>
                </c:pt>
                <c:pt idx="177">
                  <c:v>2.1505934762343997</c:v>
                </c:pt>
                <c:pt idx="178">
                  <c:v>2.0229955653390728</c:v>
                </c:pt>
                <c:pt idx="179">
                  <c:v>1.8911413726101811</c:v>
                </c:pt>
                <c:pt idx="180">
                  <c:v>1.7599986437515458</c:v>
                </c:pt>
                <c:pt idx="181">
                  <c:v>1.6328483405851417</c:v>
                </c:pt>
                <c:pt idx="182">
                  <c:v>1.5024136274923934</c:v>
                </c:pt>
                <c:pt idx="183">
                  <c:v>1.3756284409453468</c:v>
                </c:pt>
                <c:pt idx="184">
                  <c:v>1.2461551449195429</c:v>
                </c:pt>
                <c:pt idx="185">
                  <c:v>1.1173614949245019</c:v>
                </c:pt>
                <c:pt idx="186">
                  <c:v>0.98913742169201568</c:v>
                </c:pt>
                <c:pt idx="187">
                  <c:v>0.86364373643010595</c:v>
                </c:pt>
                <c:pt idx="188">
                  <c:v>0.73663372639001967</c:v>
                </c:pt>
                <c:pt idx="189">
                  <c:v>0.61038804098394916</c:v>
                </c:pt>
                <c:pt idx="190">
                  <c:v>0.48464371338651313</c:v>
                </c:pt>
                <c:pt idx="191">
                  <c:v>0.3598228941857502</c:v>
                </c:pt>
                <c:pt idx="192">
                  <c:v>0.2357409654553389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AB-41E0-9379-39AE74483614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Formes_2!$P$1:$P$200</c:f>
              <c:numCache>
                <c:formatCode>General</c:formatCode>
                <c:ptCount val="200"/>
                <c:pt idx="2">
                  <c:v>0</c:v>
                </c:pt>
                <c:pt idx="3">
                  <c:v>0.52105263157894732</c:v>
                </c:pt>
                <c:pt idx="4">
                  <c:v>1.0421052631578946</c:v>
                </c:pt>
                <c:pt idx="5">
                  <c:v>1.5631578947368421</c:v>
                </c:pt>
                <c:pt idx="6">
                  <c:v>2.0842105263157893</c:v>
                </c:pt>
                <c:pt idx="7">
                  <c:v>2.6052631578947367</c:v>
                </c:pt>
                <c:pt idx="8">
                  <c:v>3.1263157894736842</c:v>
                </c:pt>
                <c:pt idx="9">
                  <c:v>3.6473684210526316</c:v>
                </c:pt>
                <c:pt idx="10">
                  <c:v>4.1684210526315786</c:v>
                </c:pt>
                <c:pt idx="11">
                  <c:v>4.689473684210526</c:v>
                </c:pt>
                <c:pt idx="12">
                  <c:v>5.2105263157894735</c:v>
                </c:pt>
                <c:pt idx="13">
                  <c:v>5.7315789473684209</c:v>
                </c:pt>
                <c:pt idx="14">
                  <c:v>6.2526315789473683</c:v>
                </c:pt>
                <c:pt idx="15">
                  <c:v>6.7736842105263158</c:v>
                </c:pt>
                <c:pt idx="16">
                  <c:v>7.2947368421052632</c:v>
                </c:pt>
                <c:pt idx="17">
                  <c:v>7.8157894736842106</c:v>
                </c:pt>
                <c:pt idx="18">
                  <c:v>8.3368421052631572</c:v>
                </c:pt>
                <c:pt idx="19">
                  <c:v>8.8578947368421055</c:v>
                </c:pt>
                <c:pt idx="20">
                  <c:v>9.378947368421052</c:v>
                </c:pt>
                <c:pt idx="21">
                  <c:v>9.9</c:v>
                </c:pt>
                <c:pt idx="22">
                  <c:v>10.421052631578947</c:v>
                </c:pt>
                <c:pt idx="23">
                  <c:v>10.942105263157895</c:v>
                </c:pt>
                <c:pt idx="24">
                  <c:v>11.463157894736842</c:v>
                </c:pt>
                <c:pt idx="25">
                  <c:v>11.98421052631579</c:v>
                </c:pt>
                <c:pt idx="26">
                  <c:v>12.505263157894737</c:v>
                </c:pt>
                <c:pt idx="27">
                  <c:v>13.026315789473685</c:v>
                </c:pt>
                <c:pt idx="28">
                  <c:v>13.547368421052632</c:v>
                </c:pt>
                <c:pt idx="29">
                  <c:v>14.06842105263158</c:v>
                </c:pt>
                <c:pt idx="30">
                  <c:v>14.589473684210526</c:v>
                </c:pt>
                <c:pt idx="31">
                  <c:v>15.110526315789473</c:v>
                </c:pt>
                <c:pt idx="32">
                  <c:v>15.631578947368421</c:v>
                </c:pt>
                <c:pt idx="33">
                  <c:v>16.152631578947368</c:v>
                </c:pt>
                <c:pt idx="34">
                  <c:v>16.673684210526314</c:v>
                </c:pt>
                <c:pt idx="35">
                  <c:v>17.194736842105264</c:v>
                </c:pt>
                <c:pt idx="36">
                  <c:v>17.715789473684211</c:v>
                </c:pt>
                <c:pt idx="37">
                  <c:v>18.236842105263158</c:v>
                </c:pt>
                <c:pt idx="38">
                  <c:v>18.757894736842104</c:v>
                </c:pt>
                <c:pt idx="39">
                  <c:v>19.278947368421054</c:v>
                </c:pt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  <c:pt idx="130">
                  <c:v>66.694736842105257</c:v>
                </c:pt>
                <c:pt idx="131">
                  <c:v>67.215789473684211</c:v>
                </c:pt>
                <c:pt idx="132">
                  <c:v>67.736842105263165</c:v>
                </c:pt>
                <c:pt idx="133">
                  <c:v>68.257894736842104</c:v>
                </c:pt>
                <c:pt idx="134">
                  <c:v>68.778947368421058</c:v>
                </c:pt>
                <c:pt idx="135">
                  <c:v>69.3</c:v>
                </c:pt>
                <c:pt idx="136">
                  <c:v>69.821052631578951</c:v>
                </c:pt>
                <c:pt idx="137">
                  <c:v>70.34210526315789</c:v>
                </c:pt>
                <c:pt idx="138">
                  <c:v>70.863157894736844</c:v>
                </c:pt>
                <c:pt idx="139">
                  <c:v>71.384210526315783</c:v>
                </c:pt>
                <c:pt idx="140">
                  <c:v>71.905263157894737</c:v>
                </c:pt>
                <c:pt idx="141">
                  <c:v>72.426315789473691</c:v>
                </c:pt>
                <c:pt idx="142">
                  <c:v>72.94736842105263</c:v>
                </c:pt>
                <c:pt idx="143">
                  <c:v>73.468421052631584</c:v>
                </c:pt>
                <c:pt idx="144">
                  <c:v>73.989473684210523</c:v>
                </c:pt>
                <c:pt idx="145">
                  <c:v>74.510526315789477</c:v>
                </c:pt>
                <c:pt idx="146">
                  <c:v>75.031578947368416</c:v>
                </c:pt>
                <c:pt idx="147">
                  <c:v>75.55263157894737</c:v>
                </c:pt>
                <c:pt idx="148">
                  <c:v>76.073684210526309</c:v>
                </c:pt>
                <c:pt idx="149">
                  <c:v>76.594736842105263</c:v>
                </c:pt>
                <c:pt idx="150">
                  <c:v>77.115789473684217</c:v>
                </c:pt>
                <c:pt idx="151">
                  <c:v>77.636842105263156</c:v>
                </c:pt>
                <c:pt idx="152">
                  <c:v>78.15789473684211</c:v>
                </c:pt>
                <c:pt idx="153">
                  <c:v>78.678947368421049</c:v>
                </c:pt>
                <c:pt idx="154">
                  <c:v>79.2</c:v>
                </c:pt>
                <c:pt idx="155">
                  <c:v>79.721052631578942</c:v>
                </c:pt>
                <c:pt idx="156">
                  <c:v>80.242105263157896</c:v>
                </c:pt>
                <c:pt idx="157">
                  <c:v>80.763157894736835</c:v>
                </c:pt>
                <c:pt idx="158">
                  <c:v>81.284210526315789</c:v>
                </c:pt>
                <c:pt idx="159">
                  <c:v>81.805263157894743</c:v>
                </c:pt>
                <c:pt idx="160">
                  <c:v>82.326315789473682</c:v>
                </c:pt>
                <c:pt idx="161">
                  <c:v>82.847368421052636</c:v>
                </c:pt>
                <c:pt idx="162">
                  <c:v>83.368421052631575</c:v>
                </c:pt>
                <c:pt idx="163">
                  <c:v>83.889473684210529</c:v>
                </c:pt>
                <c:pt idx="164">
                  <c:v>84.410526315789468</c:v>
                </c:pt>
                <c:pt idx="165">
                  <c:v>84.931578947368422</c:v>
                </c:pt>
                <c:pt idx="166">
                  <c:v>85.452631578947361</c:v>
                </c:pt>
                <c:pt idx="167">
                  <c:v>85.973684210526315</c:v>
                </c:pt>
                <c:pt idx="168">
                  <c:v>86.494736842105269</c:v>
                </c:pt>
                <c:pt idx="169">
                  <c:v>87.015789473684208</c:v>
                </c:pt>
                <c:pt idx="170">
                  <c:v>87.536842105263162</c:v>
                </c:pt>
                <c:pt idx="171">
                  <c:v>88.057894736842101</c:v>
                </c:pt>
                <c:pt idx="172">
                  <c:v>88.578947368421055</c:v>
                </c:pt>
                <c:pt idx="173">
                  <c:v>89.1</c:v>
                </c:pt>
                <c:pt idx="174">
                  <c:v>89.621052631578948</c:v>
                </c:pt>
                <c:pt idx="175">
                  <c:v>90.142105263157902</c:v>
                </c:pt>
                <c:pt idx="176">
                  <c:v>90.663157894736841</c:v>
                </c:pt>
                <c:pt idx="177">
                  <c:v>91.184210526315795</c:v>
                </c:pt>
                <c:pt idx="178">
                  <c:v>91.705263157894734</c:v>
                </c:pt>
                <c:pt idx="179">
                  <c:v>92.226315789473688</c:v>
                </c:pt>
                <c:pt idx="180">
                  <c:v>92.747368421052627</c:v>
                </c:pt>
                <c:pt idx="181">
                  <c:v>93.268421052631581</c:v>
                </c:pt>
                <c:pt idx="182">
                  <c:v>93.78947368421052</c:v>
                </c:pt>
                <c:pt idx="183">
                  <c:v>94.310526315789474</c:v>
                </c:pt>
                <c:pt idx="184">
                  <c:v>94.831578947368428</c:v>
                </c:pt>
                <c:pt idx="185">
                  <c:v>95.352631578947367</c:v>
                </c:pt>
                <c:pt idx="186">
                  <c:v>95.873684210526321</c:v>
                </c:pt>
                <c:pt idx="187">
                  <c:v>96.39473684210526</c:v>
                </c:pt>
                <c:pt idx="188">
                  <c:v>96.915789473684214</c:v>
                </c:pt>
                <c:pt idx="189">
                  <c:v>97.436842105263153</c:v>
                </c:pt>
                <c:pt idx="190">
                  <c:v>97.957894736842107</c:v>
                </c:pt>
                <c:pt idx="191">
                  <c:v>98.478947368421046</c:v>
                </c:pt>
                <c:pt idx="192">
                  <c:v>99</c:v>
                </c:pt>
              </c:numCache>
            </c:numRef>
          </c:xVal>
          <c:yVal>
            <c:numRef>
              <c:f>Formes_2!$Q$1:$Q$200</c:f>
              <c:numCache>
                <c:formatCode>General</c:formatCode>
                <c:ptCount val="200"/>
                <c:pt idx="2">
                  <c:v>8.6162587721258728</c:v>
                </c:pt>
                <c:pt idx="3">
                  <c:v>8.7024328959786423</c:v>
                </c:pt>
                <c:pt idx="4">
                  <c:v>8.7879056509611964</c:v>
                </c:pt>
                <c:pt idx="5">
                  <c:v>8.861867454030719</c:v>
                </c:pt>
                <c:pt idx="6">
                  <c:v>8.9454620138556216</c:v>
                </c:pt>
                <c:pt idx="7">
                  <c:v>9.0281818581805453</c:v>
                </c:pt>
                <c:pt idx="8">
                  <c:v>9.0985386816406493</c:v>
                </c:pt>
                <c:pt idx="9">
                  <c:v>9.1791019539627676</c:v>
                </c:pt>
                <c:pt idx="10">
                  <c:v>9.2468191155442057</c:v>
                </c:pt>
                <c:pt idx="11">
                  <c:v>9.3250987387660409</c:v>
                </c:pt>
                <c:pt idx="12">
                  <c:v>9.3900742909090518</c:v>
                </c:pt>
                <c:pt idx="13">
                  <c:v>9.4659871298662619</c:v>
                </c:pt>
                <c:pt idx="14">
                  <c:v>9.5281565895499547</c:v>
                </c:pt>
                <c:pt idx="15">
                  <c:v>9.6016462113336001</c:v>
                </c:pt>
                <c:pt idx="16">
                  <c:v>9.6609717972393376</c:v>
                </c:pt>
                <c:pt idx="17">
                  <c:v>9.7320085946288071</c:v>
                </c:pt>
                <c:pt idx="18">
                  <c:v>9.7884779450660737</c:v>
                </c:pt>
                <c:pt idx="19">
                  <c:v>9.8434613737175685</c:v>
                </c:pt>
                <c:pt idx="20">
                  <c:v>9.9106660487957967</c:v>
                </c:pt>
                <c:pt idx="21">
                  <c:v>9.9628041946164316</c:v>
                </c:pt>
                <c:pt idx="22">
                  <c:v>10.013472763805666</c:v>
                </c:pt>
                <c:pt idx="23">
                  <c:v>10.06268122441103</c:v>
                </c:pt>
                <c:pt idx="24">
                  <c:v>10.124721407410165</c:v>
                </c:pt>
                <c:pt idx="25">
                  <c:v>10.171133505603379</c:v>
                </c:pt>
                <c:pt idx="26">
                  <c:v>10.216109971464125</c:v>
                </c:pt>
                <c:pt idx="27">
                  <c:v>10.274408296838409</c:v>
                </c:pt>
                <c:pt idx="28">
                  <c:v>10.316640530786001</c:v>
                </c:pt>
                <c:pt idx="29">
                  <c:v>10.357465658679402</c:v>
                </c:pt>
                <c:pt idx="30">
                  <c:v>10.396895456563229</c:v>
                </c:pt>
                <c:pt idx="31">
                  <c:v>10.4349399436661</c:v>
                </c:pt>
                <c:pt idx="32">
                  <c:v>10.486970833985414</c:v>
                </c:pt>
                <c:pt idx="33">
                  <c:v>10.52235960450054</c:v>
                </c:pt>
                <c:pt idx="34">
                  <c:v>10.556388843918388</c:v>
                </c:pt>
                <c:pt idx="35">
                  <c:v>10.589072062949114</c:v>
                </c:pt>
                <c:pt idx="36">
                  <c:v>10.620414193569591</c:v>
                </c:pt>
                <c:pt idx="37">
                  <c:v>10.650428801441638</c:v>
                </c:pt>
                <c:pt idx="38">
                  <c:v>10.695120090320543</c:v>
                </c:pt>
                <c:pt idx="39">
                  <c:v>10.722569053848499</c:v>
                </c:pt>
                <c:pt idx="40">
                  <c:v>10.748708465897419</c:v>
                </c:pt>
                <c:pt idx="41">
                  <c:v>10.773544908141563</c:v>
                </c:pt>
                <c:pt idx="42">
                  <c:v>10.797086168836897</c:v>
                </c:pt>
                <c:pt idx="43">
                  <c:v>10.819337142753547</c:v>
                </c:pt>
                <c:pt idx="44">
                  <c:v>10.840304783205713</c:v>
                </c:pt>
                <c:pt idx="45">
                  <c:v>10.876614588988915</c:v>
                </c:pt>
                <c:pt idx="46">
                  <c:v>10.895086430128401</c:v>
                </c:pt>
                <c:pt idx="47">
                  <c:v>10.912287345623881</c:v>
                </c:pt>
                <c:pt idx="48">
                  <c:v>10.92821700645143</c:v>
                </c:pt>
                <c:pt idx="49">
                  <c:v>10.942882474962396</c:v>
                </c:pt>
                <c:pt idx="50">
                  <c:v>10.956284985500568</c:v>
                </c:pt>
                <c:pt idx="51">
                  <c:v>10.968428009929017</c:v>
                </c:pt>
                <c:pt idx="52">
                  <c:v>10.979314345735737</c:v>
                </c:pt>
                <c:pt idx="53">
                  <c:v>10.988945160964379</c:v>
                </c:pt>
                <c:pt idx="54">
                  <c:v>11.014545447628109</c:v>
                </c:pt>
                <c:pt idx="55">
                  <c:v>11.021711692586607</c:v>
                </c:pt>
                <c:pt idx="56">
                  <c:v>11.027622976449447</c:v>
                </c:pt>
                <c:pt idx="57">
                  <c:v>11.032283931866031</c:v>
                </c:pt>
                <c:pt idx="58">
                  <c:v>11.035691024799288</c:v>
                </c:pt>
                <c:pt idx="59">
                  <c:v>11.037848028279893</c:v>
                </c:pt>
                <c:pt idx="60">
                  <c:v>11.038751612731264</c:v>
                </c:pt>
                <c:pt idx="61">
                  <c:v>11.038403988912696</c:v>
                </c:pt>
                <c:pt idx="62">
                  <c:v>11.036805296526667</c:v>
                </c:pt>
                <c:pt idx="63">
                  <c:v>11.033953515600928</c:v>
                </c:pt>
                <c:pt idx="64">
                  <c:v>11.029847236492767</c:v>
                </c:pt>
                <c:pt idx="65">
                  <c:v>11.02448709598794</c:v>
                </c:pt>
                <c:pt idx="66">
                  <c:v>11.017871648113104</c:v>
                </c:pt>
                <c:pt idx="67">
                  <c:v>11.009999263673985</c:v>
                </c:pt>
                <c:pt idx="68">
                  <c:v>11.018592221875899</c:v>
                </c:pt>
                <c:pt idx="69">
                  <c:v>11.008214286137434</c:v>
                </c:pt>
                <c:pt idx="70">
                  <c:v>10.996571652856412</c:v>
                </c:pt>
                <c:pt idx="71">
                  <c:v>10.983663448990189</c:v>
                </c:pt>
                <c:pt idx="72">
                  <c:v>10.969488559616508</c:v>
                </c:pt>
                <c:pt idx="73">
                  <c:v>10.954043832881318</c:v>
                </c:pt>
                <c:pt idx="74">
                  <c:v>10.937327815589494</c:v>
                </c:pt>
                <c:pt idx="75">
                  <c:v>10.919339684718013</c:v>
                </c:pt>
                <c:pt idx="76">
                  <c:v>10.900075014101578</c:v>
                </c:pt>
                <c:pt idx="77">
                  <c:v>10.879531146142604</c:v>
                </c:pt>
                <c:pt idx="78">
                  <c:v>10.857705174124842</c:v>
                </c:pt>
                <c:pt idx="79">
                  <c:v>10.834595509187869</c:v>
                </c:pt>
                <c:pt idx="80">
                  <c:v>10.810196706651999</c:v>
                </c:pt>
                <c:pt idx="81">
                  <c:v>10.784510532776926</c:v>
                </c:pt>
                <c:pt idx="82">
                  <c:v>10.757529996864534</c:v>
                </c:pt>
                <c:pt idx="83">
                  <c:v>10.729253921222931</c:v>
                </c:pt>
                <c:pt idx="84">
                  <c:v>10.699674883941858</c:v>
                </c:pt>
                <c:pt idx="85">
                  <c:v>10.668793605841056</c:v>
                </c:pt>
                <c:pt idx="86">
                  <c:v>10.636605725367</c:v>
                </c:pt>
                <c:pt idx="87">
                  <c:v>10.603110051552296</c:v>
                </c:pt>
                <c:pt idx="88">
                  <c:v>10.568294379244774</c:v>
                </c:pt>
                <c:pt idx="89">
                  <c:v>10.532160169765353</c:v>
                </c:pt>
                <c:pt idx="90">
                  <c:v>10.494704782555186</c:v>
                </c:pt>
                <c:pt idx="91">
                  <c:v>10.455924335489675</c:v>
                </c:pt>
                <c:pt idx="92">
                  <c:v>10.415809981755398</c:v>
                </c:pt>
                <c:pt idx="93">
                  <c:v>10.374363606178306</c:v>
                </c:pt>
                <c:pt idx="94">
                  <c:v>10.331573363329429</c:v>
                </c:pt>
                <c:pt idx="95">
                  <c:v>10.28744142606025</c:v>
                </c:pt>
                <c:pt idx="96">
                  <c:v>10.241958753164703</c:v>
                </c:pt>
                <c:pt idx="97">
                  <c:v>10.195121112532338</c:v>
                </c:pt>
                <c:pt idx="98">
                  <c:v>10.146931622817903</c:v>
                </c:pt>
                <c:pt idx="99">
                  <c:v>10.097371068070137</c:v>
                </c:pt>
                <c:pt idx="100">
                  <c:v>10.046450140361584</c:v>
                </c:pt>
                <c:pt idx="101">
                  <c:v>9.9941569182738803</c:v>
                </c:pt>
                <c:pt idx="102">
                  <c:v>9.9404834733554353</c:v>
                </c:pt>
                <c:pt idx="103">
                  <c:v>9.885425703764481</c:v>
                </c:pt>
                <c:pt idx="104">
                  <c:v>9.8289900200149418</c:v>
                </c:pt>
                <c:pt idx="105">
                  <c:v>9.7711599256614043</c:v>
                </c:pt>
                <c:pt idx="106">
                  <c:v>9.7119394441713549</c:v>
                </c:pt>
                <c:pt idx="107">
                  <c:v>9.6513177772279732</c:v>
                </c:pt>
                <c:pt idx="108">
                  <c:v>9.5892963429186597</c:v>
                </c:pt>
                <c:pt idx="109">
                  <c:v>9.5258688441513542</c:v>
                </c:pt>
                <c:pt idx="110">
                  <c:v>9.4610260596659259</c:v>
                </c:pt>
                <c:pt idx="111">
                  <c:v>9.3947719837508359</c:v>
                </c:pt>
                <c:pt idx="112">
                  <c:v>9.3271113933453229</c:v>
                </c:pt>
                <c:pt idx="113">
                  <c:v>9.258021304662627</c:v>
                </c:pt>
                <c:pt idx="114">
                  <c:v>9.1875086790716267</c:v>
                </c:pt>
                <c:pt idx="115">
                  <c:v>9.1155798934497909</c:v>
                </c:pt>
                <c:pt idx="116">
                  <c:v>9.0422163315610806</c:v>
                </c:pt>
                <c:pt idx="117">
                  <c:v>8.9674361264300089</c:v>
                </c:pt>
                <c:pt idx="118">
                  <c:v>8.8912162563567207</c:v>
                </c:pt>
                <c:pt idx="119">
                  <c:v>8.8135735382501181</c:v>
                </c:pt>
                <c:pt idx="120">
                  <c:v>8.7344950921498565</c:v>
                </c:pt>
                <c:pt idx="121">
                  <c:v>8.6540006491934456</c:v>
                </c:pt>
                <c:pt idx="122">
                  <c:v>8.5720764364660855</c:v>
                </c:pt>
                <c:pt idx="123">
                  <c:v>8.4887239223432438</c:v>
                </c:pt>
                <c:pt idx="124">
                  <c:v>8.4039403992093256</c:v>
                </c:pt>
                <c:pt idx="125">
                  <c:v>8.3177549383780232</c:v>
                </c:pt>
                <c:pt idx="126">
                  <c:v>8.2301438129875955</c:v>
                </c:pt>
                <c:pt idx="127">
                  <c:v>8.1411201717972368</c:v>
                </c:pt>
                <c:pt idx="128">
                  <c:v>8.050695929048878</c:v>
                </c:pt>
                <c:pt idx="129">
                  <c:v>7.9588612376053813</c:v>
                </c:pt>
                <c:pt idx="130">
                  <c:v>7.865642821231809</c:v>
                </c:pt>
                <c:pt idx="131">
                  <c:v>7.77102847250754</c:v>
                </c:pt>
                <c:pt idx="132">
                  <c:v>7.675055870428805</c:v>
                </c:pt>
                <c:pt idx="133">
                  <c:v>7.5777083025469931</c:v>
                </c:pt>
                <c:pt idx="134">
                  <c:v>7.4790227353471499</c:v>
                </c:pt>
                <c:pt idx="135">
                  <c:v>7.3789701629288054</c:v>
                </c:pt>
                <c:pt idx="136">
                  <c:v>7.2775944214916048</c:v>
                </c:pt>
                <c:pt idx="137">
                  <c:v>7.174901101556447</c:v>
                </c:pt>
                <c:pt idx="138">
                  <c:v>7.0708912064687652</c:v>
                </c:pt>
                <c:pt idx="139">
                  <c:v>6.9656128605229064</c:v>
                </c:pt>
                <c:pt idx="140">
                  <c:v>6.8590371919319946</c:v>
                </c:pt>
                <c:pt idx="141">
                  <c:v>6.7512211560905708</c:v>
                </c:pt>
                <c:pt idx="142">
                  <c:v>6.642177268235721</c:v>
                </c:pt>
                <c:pt idx="143">
                  <c:v>6.5319158161294553</c:v>
                </c:pt>
                <c:pt idx="144">
                  <c:v>6.4204581206159386</c:v>
                </c:pt>
                <c:pt idx="145">
                  <c:v>6.3078030436569605</c:v>
                </c:pt>
                <c:pt idx="146">
                  <c:v>6.1940405962829974</c:v>
                </c:pt>
                <c:pt idx="147">
                  <c:v>6.068163668380878</c:v>
                </c:pt>
                <c:pt idx="148">
                  <c:v>5.9523392726398221</c:v>
                </c:pt>
                <c:pt idx="149">
                  <c:v>5.8354581452438072</c:v>
                </c:pt>
                <c:pt idx="150">
                  <c:v>5.7175091841803862</c:v>
                </c:pt>
                <c:pt idx="151">
                  <c:v>5.59859969484922</c:v>
                </c:pt>
                <c:pt idx="152">
                  <c:v>5.4786675213182381</c:v>
                </c:pt>
                <c:pt idx="153">
                  <c:v>5.3577993079793043</c:v>
                </c:pt>
                <c:pt idx="154">
                  <c:v>5.2359523263082792</c:v>
                </c:pt>
                <c:pt idx="155">
                  <c:v>5.1132219982190126</c:v>
                </c:pt>
                <c:pt idx="156">
                  <c:v>4.9896281769901236</c:v>
                </c:pt>
                <c:pt idx="157">
                  <c:v>4.8652298964639105</c:v>
                </c:pt>
                <c:pt idx="158">
                  <c:v>4.7400466334755382</c:v>
                </c:pt>
                <c:pt idx="159">
                  <c:v>4.6140691650594636</c:v>
                </c:pt>
                <c:pt idx="160">
                  <c:v>4.4790734650970006</c:v>
                </c:pt>
                <c:pt idx="161">
                  <c:v>4.3519045482363667</c:v>
                </c:pt>
                <c:pt idx="162">
                  <c:v>4.2240534595045425</c:v>
                </c:pt>
                <c:pt idx="163">
                  <c:v>4.0956136400450127</c:v>
                </c:pt>
                <c:pt idx="164">
                  <c:v>3.9666275643849609</c:v>
                </c:pt>
                <c:pt idx="165">
                  <c:v>3.8370510102950037</c:v>
                </c:pt>
                <c:pt idx="166">
                  <c:v>3.706947723559209</c:v>
                </c:pt>
                <c:pt idx="167">
                  <c:v>3.5763488113220352</c:v>
                </c:pt>
                <c:pt idx="168">
                  <c:v>3.4388670398973424</c:v>
                </c:pt>
                <c:pt idx="169">
                  <c:v>3.307771919620548</c:v>
                </c:pt>
                <c:pt idx="170">
                  <c:v>3.1762494031899013</c:v>
                </c:pt>
                <c:pt idx="171">
                  <c:v>3.0442911102786101</c:v>
                </c:pt>
                <c:pt idx="172">
                  <c:v>2.9121919513434538</c:v>
                </c:pt>
                <c:pt idx="173">
                  <c:v>2.7797969724018659</c:v>
                </c:pt>
                <c:pt idx="174">
                  <c:v>2.6420960731960301</c:v>
                </c:pt>
                <c:pt idx="175">
                  <c:v>2.5095486277951777</c:v>
                </c:pt>
                <c:pt idx="176">
                  <c:v>2.3768090249574989</c:v>
                </c:pt>
                <c:pt idx="177">
                  <c:v>2.2438521725985368</c:v>
                </c:pt>
                <c:pt idx="178">
                  <c:v>2.1109208100940884</c:v>
                </c:pt>
                <c:pt idx="179">
                  <c:v>1.9739874985742689</c:v>
                </c:pt>
                <c:pt idx="180">
                  <c:v>1.8412615182478422</c:v>
                </c:pt>
                <c:pt idx="181">
                  <c:v>1.7084181961517926</c:v>
                </c:pt>
                <c:pt idx="182">
                  <c:v>1.5755750415856962</c:v>
                </c:pt>
                <c:pt idx="183">
                  <c:v>1.4399519174387758</c:v>
                </c:pt>
                <c:pt idx="184">
                  <c:v>1.3074604612736551</c:v>
                </c:pt>
                <c:pt idx="185">
                  <c:v>1.1750640278987321</c:v>
                </c:pt>
                <c:pt idx="186">
                  <c:v>1.04068665994464</c:v>
                </c:pt>
                <c:pt idx="187">
                  <c:v>0.90875739729272564</c:v>
                </c:pt>
                <c:pt idx="188">
                  <c:v>0.7770309120332819</c:v>
                </c:pt>
                <c:pt idx="189">
                  <c:v>0.64413026994378275</c:v>
                </c:pt>
                <c:pt idx="190">
                  <c:v>0.5126474672861363</c:v>
                </c:pt>
                <c:pt idx="191">
                  <c:v>0.38158699278758534</c:v>
                </c:pt>
                <c:pt idx="192">
                  <c:v>0.25005838095844851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AB-41E0-9379-39AE74483614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x"/>
            <c:size val="20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'P(F1)'!$C$14:$M$14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Lit>
              <c:formatCode>General</c:formatCode>
              <c:ptCount val="11"/>
              <c:pt idx="0">
                <c:v>40</c:v>
              </c:pt>
              <c:pt idx="1">
                <c:v>40</c:v>
              </c:pt>
              <c:pt idx="2">
                <c:v>40</c:v>
              </c:pt>
              <c:pt idx="3">
                <c:v>40</c:v>
              </c:pt>
              <c:pt idx="4">
                <c:v>40</c:v>
              </c:pt>
              <c:pt idx="5">
                <c:v>40</c:v>
              </c:pt>
              <c:pt idx="6">
                <c:v>40</c:v>
              </c:pt>
              <c:pt idx="7">
                <c:v>40</c:v>
              </c:pt>
              <c:pt idx="8">
                <c:v>40</c:v>
              </c:pt>
              <c:pt idx="9">
                <c:v>40</c:v>
              </c:pt>
              <c:pt idx="1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2EAB-41E0-9379-39AE74483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82991"/>
        <c:axId val="1"/>
      </c:scatterChart>
      <c:valAx>
        <c:axId val="893982991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crossBetween val="midCat"/>
      </c:valAx>
      <c:valAx>
        <c:axId val="1"/>
        <c:scaling>
          <c:orientation val="minMax"/>
          <c:max val="1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82991"/>
        <c:crossesAt val="-10"/>
        <c:crossBetween val="midCat"/>
      </c:valAx>
      <c:spPr>
        <a:solidFill>
          <a:srgbClr val="000000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191489361702128E-2"/>
          <c:y val="8.7124878993223617E-2"/>
          <c:w val="0.93203309692671399"/>
          <c:h val="0.8944820909970958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formes!$B$1:$B$200</c:f>
              <c:numCache>
                <c:formatCode>General</c:formatCode>
                <c:ptCount val="200"/>
                <c:pt idx="2">
                  <c:v>0</c:v>
                </c:pt>
                <c:pt idx="3">
                  <c:v>0.52105263157894732</c:v>
                </c:pt>
                <c:pt idx="4">
                  <c:v>1.0421052631578946</c:v>
                </c:pt>
                <c:pt idx="5">
                  <c:v>1.5631578947368421</c:v>
                </c:pt>
                <c:pt idx="6">
                  <c:v>2.0842105263157893</c:v>
                </c:pt>
                <c:pt idx="7">
                  <c:v>2.6052631578947367</c:v>
                </c:pt>
                <c:pt idx="8">
                  <c:v>3.1263157894736842</c:v>
                </c:pt>
                <c:pt idx="9">
                  <c:v>3.6473684210526316</c:v>
                </c:pt>
                <c:pt idx="10">
                  <c:v>4.1684210526315786</c:v>
                </c:pt>
                <c:pt idx="11">
                  <c:v>4.689473684210526</c:v>
                </c:pt>
                <c:pt idx="12">
                  <c:v>5.2105263157894735</c:v>
                </c:pt>
                <c:pt idx="13">
                  <c:v>5.7315789473684209</c:v>
                </c:pt>
                <c:pt idx="14">
                  <c:v>6.2526315789473683</c:v>
                </c:pt>
                <c:pt idx="15">
                  <c:v>6.7736842105263158</c:v>
                </c:pt>
                <c:pt idx="16">
                  <c:v>7.2947368421052632</c:v>
                </c:pt>
                <c:pt idx="17">
                  <c:v>7.8157894736842106</c:v>
                </c:pt>
                <c:pt idx="18">
                  <c:v>8.3368421052631572</c:v>
                </c:pt>
                <c:pt idx="19">
                  <c:v>8.8578947368421055</c:v>
                </c:pt>
                <c:pt idx="20">
                  <c:v>9.378947368421052</c:v>
                </c:pt>
                <c:pt idx="21">
                  <c:v>9.9</c:v>
                </c:pt>
                <c:pt idx="22">
                  <c:v>10.421052631578947</c:v>
                </c:pt>
                <c:pt idx="23">
                  <c:v>10.942105263157895</c:v>
                </c:pt>
                <c:pt idx="24">
                  <c:v>11.463157894736842</c:v>
                </c:pt>
                <c:pt idx="25">
                  <c:v>11.98421052631579</c:v>
                </c:pt>
                <c:pt idx="26">
                  <c:v>12.505263157894737</c:v>
                </c:pt>
                <c:pt idx="27">
                  <c:v>13.026315789473685</c:v>
                </c:pt>
                <c:pt idx="28">
                  <c:v>13.547368421052632</c:v>
                </c:pt>
                <c:pt idx="29">
                  <c:v>14.06842105263158</c:v>
                </c:pt>
                <c:pt idx="30">
                  <c:v>14.589473684210526</c:v>
                </c:pt>
                <c:pt idx="31">
                  <c:v>15.110526315789473</c:v>
                </c:pt>
                <c:pt idx="32">
                  <c:v>15.631578947368421</c:v>
                </c:pt>
                <c:pt idx="33">
                  <c:v>16.152631578947368</c:v>
                </c:pt>
                <c:pt idx="34">
                  <c:v>16.673684210526314</c:v>
                </c:pt>
                <c:pt idx="35">
                  <c:v>17.194736842105264</c:v>
                </c:pt>
                <c:pt idx="36">
                  <c:v>17.715789473684211</c:v>
                </c:pt>
                <c:pt idx="37">
                  <c:v>18.236842105263158</c:v>
                </c:pt>
                <c:pt idx="38">
                  <c:v>18.757894736842104</c:v>
                </c:pt>
                <c:pt idx="39">
                  <c:v>19.278947368421054</c:v>
                </c:pt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  <c:pt idx="130">
                  <c:v>66.694736842105257</c:v>
                </c:pt>
                <c:pt idx="131">
                  <c:v>67.215789473684211</c:v>
                </c:pt>
                <c:pt idx="132">
                  <c:v>67.736842105263165</c:v>
                </c:pt>
                <c:pt idx="133">
                  <c:v>68.257894736842104</c:v>
                </c:pt>
                <c:pt idx="134">
                  <c:v>68.778947368421058</c:v>
                </c:pt>
                <c:pt idx="135">
                  <c:v>69.3</c:v>
                </c:pt>
                <c:pt idx="136">
                  <c:v>69.821052631578951</c:v>
                </c:pt>
                <c:pt idx="137">
                  <c:v>70.34210526315789</c:v>
                </c:pt>
                <c:pt idx="138">
                  <c:v>70.863157894736844</c:v>
                </c:pt>
                <c:pt idx="139">
                  <c:v>71.384210526315783</c:v>
                </c:pt>
                <c:pt idx="140">
                  <c:v>71.905263157894737</c:v>
                </c:pt>
                <c:pt idx="141">
                  <c:v>72.426315789473691</c:v>
                </c:pt>
                <c:pt idx="142">
                  <c:v>72.94736842105263</c:v>
                </c:pt>
                <c:pt idx="143">
                  <c:v>73.468421052631584</c:v>
                </c:pt>
                <c:pt idx="144">
                  <c:v>73.989473684210523</c:v>
                </c:pt>
                <c:pt idx="145">
                  <c:v>74.510526315789477</c:v>
                </c:pt>
                <c:pt idx="146">
                  <c:v>75.031578947368416</c:v>
                </c:pt>
                <c:pt idx="147">
                  <c:v>75.55263157894737</c:v>
                </c:pt>
                <c:pt idx="148">
                  <c:v>76.073684210526309</c:v>
                </c:pt>
                <c:pt idx="149">
                  <c:v>76.594736842105263</c:v>
                </c:pt>
                <c:pt idx="150">
                  <c:v>77.115789473684217</c:v>
                </c:pt>
                <c:pt idx="151">
                  <c:v>77.636842105263156</c:v>
                </c:pt>
                <c:pt idx="152">
                  <c:v>78.15789473684211</c:v>
                </c:pt>
                <c:pt idx="153">
                  <c:v>78.678947368421049</c:v>
                </c:pt>
                <c:pt idx="154">
                  <c:v>79.2</c:v>
                </c:pt>
                <c:pt idx="155">
                  <c:v>79.721052631578942</c:v>
                </c:pt>
                <c:pt idx="156">
                  <c:v>80.242105263157896</c:v>
                </c:pt>
                <c:pt idx="157">
                  <c:v>80.763157894736835</c:v>
                </c:pt>
                <c:pt idx="158">
                  <c:v>81.284210526315789</c:v>
                </c:pt>
                <c:pt idx="159">
                  <c:v>81.805263157894743</c:v>
                </c:pt>
                <c:pt idx="160">
                  <c:v>82.326315789473682</c:v>
                </c:pt>
                <c:pt idx="161">
                  <c:v>82.847368421052636</c:v>
                </c:pt>
                <c:pt idx="162">
                  <c:v>83.368421052631575</c:v>
                </c:pt>
                <c:pt idx="163">
                  <c:v>83.889473684210529</c:v>
                </c:pt>
                <c:pt idx="164">
                  <c:v>84.410526315789468</c:v>
                </c:pt>
                <c:pt idx="165">
                  <c:v>84.931578947368422</c:v>
                </c:pt>
                <c:pt idx="166">
                  <c:v>85.452631578947361</c:v>
                </c:pt>
                <c:pt idx="167">
                  <c:v>85.973684210526315</c:v>
                </c:pt>
                <c:pt idx="168">
                  <c:v>86.494736842105269</c:v>
                </c:pt>
                <c:pt idx="169">
                  <c:v>87.015789473684208</c:v>
                </c:pt>
                <c:pt idx="170">
                  <c:v>87.536842105263162</c:v>
                </c:pt>
                <c:pt idx="171">
                  <c:v>88.057894736842101</c:v>
                </c:pt>
                <c:pt idx="172">
                  <c:v>88.578947368421055</c:v>
                </c:pt>
                <c:pt idx="173">
                  <c:v>89.1</c:v>
                </c:pt>
                <c:pt idx="174">
                  <c:v>89.621052631578948</c:v>
                </c:pt>
                <c:pt idx="175">
                  <c:v>90.142105263157902</c:v>
                </c:pt>
                <c:pt idx="176">
                  <c:v>90.663157894736841</c:v>
                </c:pt>
                <c:pt idx="177">
                  <c:v>91.184210526315795</c:v>
                </c:pt>
                <c:pt idx="178">
                  <c:v>91.705263157894734</c:v>
                </c:pt>
                <c:pt idx="179">
                  <c:v>92.226315789473688</c:v>
                </c:pt>
                <c:pt idx="180">
                  <c:v>92.747368421052627</c:v>
                </c:pt>
                <c:pt idx="181">
                  <c:v>93.268421052631581</c:v>
                </c:pt>
                <c:pt idx="182">
                  <c:v>93.78947368421052</c:v>
                </c:pt>
                <c:pt idx="183">
                  <c:v>94.310526315789474</c:v>
                </c:pt>
                <c:pt idx="184">
                  <c:v>94.831578947368428</c:v>
                </c:pt>
                <c:pt idx="185">
                  <c:v>95.352631578947367</c:v>
                </c:pt>
                <c:pt idx="186">
                  <c:v>95.873684210526321</c:v>
                </c:pt>
                <c:pt idx="187">
                  <c:v>96.39473684210526</c:v>
                </c:pt>
                <c:pt idx="188">
                  <c:v>96.915789473684214</c:v>
                </c:pt>
                <c:pt idx="189">
                  <c:v>97.436842105263153</c:v>
                </c:pt>
                <c:pt idx="190">
                  <c:v>97.957894736842107</c:v>
                </c:pt>
                <c:pt idx="191">
                  <c:v>98.478947368421046</c:v>
                </c:pt>
                <c:pt idx="192">
                  <c:v>99</c:v>
                </c:pt>
              </c:numCache>
            </c:numRef>
          </c:xVal>
          <c:yVal>
            <c:numRef>
              <c:f>formes!$C$1:$C$200</c:f>
              <c:numCache>
                <c:formatCode>General</c:formatCode>
                <c:ptCount val="200"/>
                <c:pt idx="2">
                  <c:v>2</c:v>
                </c:pt>
                <c:pt idx="3">
                  <c:v>1.8653110265731812</c:v>
                </c:pt>
                <c:pt idx="4">
                  <c:v>1.7318509817123413</c:v>
                </c:pt>
                <c:pt idx="5">
                  <c:v>1.5996167659759521</c:v>
                </c:pt>
                <c:pt idx="6">
                  <c:v>1.4686084985733032</c:v>
                </c:pt>
                <c:pt idx="7">
                  <c:v>1.3388289213180542</c:v>
                </c:pt>
                <c:pt idx="8">
                  <c:v>1.2102826833724976</c:v>
                </c:pt>
                <c:pt idx="9">
                  <c:v>1.0829774141311646</c:v>
                </c:pt>
                <c:pt idx="10">
                  <c:v>0.95692139863967896</c:v>
                </c:pt>
                <c:pt idx="11">
                  <c:v>0.83212500810623169</c:v>
                </c:pt>
                <c:pt idx="12">
                  <c:v>0.70859944820404053</c:v>
                </c:pt>
                <c:pt idx="13">
                  <c:v>0.58635711669921875</c:v>
                </c:pt>
                <c:pt idx="14">
                  <c:v>0.46541061997413635</c:v>
                </c:pt>
                <c:pt idx="15">
                  <c:v>0.34577363729476929</c:v>
                </c:pt>
                <c:pt idx="16">
                  <c:v>0.22745968401432037</c:v>
                </c:pt>
                <c:pt idx="17">
                  <c:v>0.11048275232315063</c:v>
                </c:pt>
                <c:pt idx="18">
                  <c:v>-5.1433411426842213E-3</c:v>
                </c:pt>
                <c:pt idx="19">
                  <c:v>-0.1194048598408699</c:v>
                </c:pt>
                <c:pt idx="20">
                  <c:v>-0.23228843510150909</c:v>
                </c:pt>
                <c:pt idx="21">
                  <c:v>-0.34378093481063843</c:v>
                </c:pt>
                <c:pt idx="22">
                  <c:v>-0.45386976003646851</c:v>
                </c:pt>
                <c:pt idx="23">
                  <c:v>-0.56254291534423828</c:v>
                </c:pt>
                <c:pt idx="24">
                  <c:v>-0.66978895664215088</c:v>
                </c:pt>
                <c:pt idx="25">
                  <c:v>-0.77559745311737061</c:v>
                </c:pt>
                <c:pt idx="26">
                  <c:v>-0.87995821237564087</c:v>
                </c:pt>
                <c:pt idx="27">
                  <c:v>-0.98286205530166626</c:v>
                </c:pt>
                <c:pt idx="28">
                  <c:v>-1.0843009948730469</c:v>
                </c:pt>
                <c:pt idx="29">
                  <c:v>-1.184267520904541</c:v>
                </c:pt>
                <c:pt idx="30">
                  <c:v>-1.2827548980712891</c:v>
                </c:pt>
                <c:pt idx="31">
                  <c:v>-1.3797578811645508</c:v>
                </c:pt>
                <c:pt idx="32">
                  <c:v>-1.4752717018127441</c:v>
                </c:pt>
                <c:pt idx="33">
                  <c:v>-1.5692923069000244</c:v>
                </c:pt>
                <c:pt idx="34">
                  <c:v>-1.6618177890777588</c:v>
                </c:pt>
                <c:pt idx="35">
                  <c:v>-1.7528454065322876</c:v>
                </c:pt>
                <c:pt idx="36">
                  <c:v>-1.842374324798584</c:v>
                </c:pt>
                <c:pt idx="37">
                  <c:v>-1.9304046630859375</c:v>
                </c:pt>
                <c:pt idx="38">
                  <c:v>-2.0169377326965332</c:v>
                </c:pt>
                <c:pt idx="39">
                  <c:v>-2.1019740104675293</c:v>
                </c:pt>
                <c:pt idx="40">
                  <c:v>-2.1855175495147705</c:v>
                </c:pt>
                <c:pt idx="41">
                  <c:v>-2.2675704956054688</c:v>
                </c:pt>
                <c:pt idx="42">
                  <c:v>-2.3481385707855225</c:v>
                </c:pt>
                <c:pt idx="43">
                  <c:v>-2.4272251129150391</c:v>
                </c:pt>
                <c:pt idx="44">
                  <c:v>-2.5048360824584961</c:v>
                </c:pt>
                <c:pt idx="45">
                  <c:v>-2.5809786319732666</c:v>
                </c:pt>
                <c:pt idx="46">
                  <c:v>-2.6556596755981445</c:v>
                </c:pt>
                <c:pt idx="47">
                  <c:v>-2.7288863658905029</c:v>
                </c:pt>
                <c:pt idx="48">
                  <c:v>-2.8006670475006104</c:v>
                </c:pt>
                <c:pt idx="49">
                  <c:v>-2.87101149559021</c:v>
                </c:pt>
                <c:pt idx="50">
                  <c:v>-2.9399278163909912</c:v>
                </c:pt>
                <c:pt idx="51">
                  <c:v>-3.0074265003204346</c:v>
                </c:pt>
                <c:pt idx="52">
                  <c:v>-3.0735175609588623</c:v>
                </c:pt>
                <c:pt idx="53">
                  <c:v>-3.1382119655609131</c:v>
                </c:pt>
                <c:pt idx="54">
                  <c:v>-3.2015206813812256</c:v>
                </c:pt>
                <c:pt idx="55">
                  <c:v>-3.263455867767334</c:v>
                </c:pt>
                <c:pt idx="56">
                  <c:v>-3.3240277767181396</c:v>
                </c:pt>
                <c:pt idx="57">
                  <c:v>-3.3832497596740723</c:v>
                </c:pt>
                <c:pt idx="58">
                  <c:v>-3.441133975982666</c:v>
                </c:pt>
                <c:pt idx="59">
                  <c:v>-3.4976913928985596</c:v>
                </c:pt>
                <c:pt idx="60">
                  <c:v>-3.5529375076293945</c:v>
                </c:pt>
                <c:pt idx="61">
                  <c:v>-3.6068813800811768</c:v>
                </c:pt>
                <c:pt idx="62">
                  <c:v>-3.6595382690429688</c:v>
                </c:pt>
                <c:pt idx="63">
                  <c:v>-3.7109205722808838</c:v>
                </c:pt>
                <c:pt idx="64">
                  <c:v>-3.761040210723877</c:v>
                </c:pt>
                <c:pt idx="65">
                  <c:v>-3.8099124431610107</c:v>
                </c:pt>
                <c:pt idx="66">
                  <c:v>-3.8575479984283447</c:v>
                </c:pt>
                <c:pt idx="67">
                  <c:v>-3.9039607048034668</c:v>
                </c:pt>
                <c:pt idx="68">
                  <c:v>-3.9491627216339111</c:v>
                </c:pt>
                <c:pt idx="69">
                  <c:v>-3.9931676387786865</c:v>
                </c:pt>
                <c:pt idx="70">
                  <c:v>-4.0359878540039063</c:v>
                </c:pt>
                <c:pt idx="71">
                  <c:v>-4.0776348114013672</c:v>
                </c:pt>
                <c:pt idx="72">
                  <c:v>-4.1181211471557617</c:v>
                </c:pt>
                <c:pt idx="73">
                  <c:v>-4.1574592590332031</c:v>
                </c:pt>
                <c:pt idx="74">
                  <c:v>-4.1956605911254883</c:v>
                </c:pt>
                <c:pt idx="75">
                  <c:v>-4.2327365875244141</c:v>
                </c:pt>
                <c:pt idx="76">
                  <c:v>-4.2686982154846191</c:v>
                </c:pt>
                <c:pt idx="77">
                  <c:v>-4.3035573959350586</c:v>
                </c:pt>
                <c:pt idx="78">
                  <c:v>-4.3373255729675293</c:v>
                </c:pt>
                <c:pt idx="79">
                  <c:v>-4.3700094223022461</c:v>
                </c:pt>
                <c:pt idx="80">
                  <c:v>-4.4016227722167969</c:v>
                </c:pt>
                <c:pt idx="81">
                  <c:v>-4.4321742057800293</c:v>
                </c:pt>
                <c:pt idx="82">
                  <c:v>-4.4616727828979492</c:v>
                </c:pt>
                <c:pt idx="83">
                  <c:v>-4.4901280403137207</c:v>
                </c:pt>
                <c:pt idx="84">
                  <c:v>-4.5175457000732422</c:v>
                </c:pt>
                <c:pt idx="85">
                  <c:v>-4.543938159942627</c:v>
                </c:pt>
                <c:pt idx="86">
                  <c:v>-4.5693111419677734</c:v>
                </c:pt>
                <c:pt idx="87">
                  <c:v>-4.5936708450317383</c:v>
                </c:pt>
                <c:pt idx="88">
                  <c:v>-4.6170268058776855</c:v>
                </c:pt>
                <c:pt idx="89">
                  <c:v>-4.6393818855285645</c:v>
                </c:pt>
                <c:pt idx="90">
                  <c:v>-4.6607451438903809</c:v>
                </c:pt>
                <c:pt idx="91">
                  <c:v>-4.6811227798461914</c:v>
                </c:pt>
                <c:pt idx="92">
                  <c:v>-4.7005152702331543</c:v>
                </c:pt>
                <c:pt idx="93">
                  <c:v>-4.718930721282959</c:v>
                </c:pt>
                <c:pt idx="94">
                  <c:v>-4.7363705635070801</c:v>
                </c:pt>
                <c:pt idx="95">
                  <c:v>-4.7528414726257324</c:v>
                </c:pt>
                <c:pt idx="96">
                  <c:v>-4.7683448791503906</c:v>
                </c:pt>
                <c:pt idx="97">
                  <c:v>-4.7828841209411621</c:v>
                </c:pt>
                <c:pt idx="98">
                  <c:v>-4.7964572906494141</c:v>
                </c:pt>
                <c:pt idx="99">
                  <c:v>-4.8090710639953613</c:v>
                </c:pt>
                <c:pt idx="100">
                  <c:v>-4.8207201957702637</c:v>
                </c:pt>
                <c:pt idx="101">
                  <c:v>-4.8314108848571777</c:v>
                </c:pt>
                <c:pt idx="102">
                  <c:v>-4.8411383628845215</c:v>
                </c:pt>
                <c:pt idx="103">
                  <c:v>-4.8499050140380859</c:v>
                </c:pt>
                <c:pt idx="104">
                  <c:v>-4.8577075004577637</c:v>
                </c:pt>
                <c:pt idx="105">
                  <c:v>-4.8645415306091309</c:v>
                </c:pt>
                <c:pt idx="106">
                  <c:v>-4.8704094886779785</c:v>
                </c:pt>
                <c:pt idx="107">
                  <c:v>-4.8753037452697754</c:v>
                </c:pt>
                <c:pt idx="108">
                  <c:v>-4.8792262077331543</c:v>
                </c:pt>
                <c:pt idx="109">
                  <c:v>-4.8821635246276855</c:v>
                </c:pt>
                <c:pt idx="110">
                  <c:v>-4.8841147422790527</c:v>
                </c:pt>
                <c:pt idx="111">
                  <c:v>-4.8850746154785156</c:v>
                </c:pt>
                <c:pt idx="112">
                  <c:v>-4.8850388526916504</c:v>
                </c:pt>
                <c:pt idx="113">
                  <c:v>-4.8839921951293945</c:v>
                </c:pt>
                <c:pt idx="114">
                  <c:v>-4.8819379806518555</c:v>
                </c:pt>
                <c:pt idx="115">
                  <c:v>-4.8788590431213379</c:v>
                </c:pt>
                <c:pt idx="116">
                  <c:v>-4.874748706817627</c:v>
                </c:pt>
                <c:pt idx="117">
                  <c:v>-4.8695988655090332</c:v>
                </c:pt>
                <c:pt idx="118">
                  <c:v>-4.8633975982666016</c:v>
                </c:pt>
                <c:pt idx="119">
                  <c:v>-4.8561286926269531</c:v>
                </c:pt>
                <c:pt idx="120">
                  <c:v>-4.8477911949157715</c:v>
                </c:pt>
                <c:pt idx="121">
                  <c:v>-4.8383722305297852</c:v>
                </c:pt>
                <c:pt idx="122">
                  <c:v>-4.8278427124023438</c:v>
                </c:pt>
                <c:pt idx="123">
                  <c:v>-4.8162040710449219</c:v>
                </c:pt>
                <c:pt idx="124">
                  <c:v>-4.8034324645996094</c:v>
                </c:pt>
                <c:pt idx="125">
                  <c:v>-4.789522647857666</c:v>
                </c:pt>
                <c:pt idx="126">
                  <c:v>-4.7744431495666504</c:v>
                </c:pt>
                <c:pt idx="127">
                  <c:v>-4.7581920623779297</c:v>
                </c:pt>
                <c:pt idx="128">
                  <c:v>-4.7407422065734863</c:v>
                </c:pt>
                <c:pt idx="129">
                  <c:v>-4.722083568572998</c:v>
                </c:pt>
                <c:pt idx="130">
                  <c:v>-4.7021908760070801</c:v>
                </c:pt>
                <c:pt idx="131">
                  <c:v>-4.6810417175292969</c:v>
                </c:pt>
                <c:pt idx="132">
                  <c:v>-4.6586241722106934</c:v>
                </c:pt>
                <c:pt idx="133">
                  <c:v>-4.6349153518676758</c:v>
                </c:pt>
                <c:pt idx="134">
                  <c:v>-4.6098790168762207</c:v>
                </c:pt>
                <c:pt idx="135">
                  <c:v>-4.5835232734680176</c:v>
                </c:pt>
                <c:pt idx="136">
                  <c:v>-4.5557928085327148</c:v>
                </c:pt>
                <c:pt idx="137">
                  <c:v>-4.5266799926757813</c:v>
                </c:pt>
                <c:pt idx="138">
                  <c:v>-4.4961695671081543</c:v>
                </c:pt>
                <c:pt idx="139">
                  <c:v>-4.4642043113708496</c:v>
                </c:pt>
                <c:pt idx="140">
                  <c:v>-4.4307947158813477</c:v>
                </c:pt>
                <c:pt idx="141">
                  <c:v>-4.395899772644043</c:v>
                </c:pt>
                <c:pt idx="142">
                  <c:v>-4.3594875335693359</c:v>
                </c:pt>
                <c:pt idx="143">
                  <c:v>-4.3215241432189941</c:v>
                </c:pt>
                <c:pt idx="144">
                  <c:v>-4.2820000648498535</c:v>
                </c:pt>
                <c:pt idx="145">
                  <c:v>-4.2408699989318848</c:v>
                </c:pt>
                <c:pt idx="146">
                  <c:v>-4.1981320381164551</c:v>
                </c:pt>
                <c:pt idx="147">
                  <c:v>-4.1537270545959473</c:v>
                </c:pt>
                <c:pt idx="148">
                  <c:v>-4.1076383590698242</c:v>
                </c:pt>
                <c:pt idx="149">
                  <c:v>-4.059852123260498</c:v>
                </c:pt>
                <c:pt idx="150">
                  <c:v>-4.0102825164794922</c:v>
                </c:pt>
                <c:pt idx="151">
                  <c:v>-3.9589719772338867</c:v>
                </c:pt>
                <c:pt idx="152">
                  <c:v>-3.9058384895324707</c:v>
                </c:pt>
                <c:pt idx="153">
                  <c:v>-3.8508725166320801</c:v>
                </c:pt>
                <c:pt idx="154">
                  <c:v>-3.7940382957458496</c:v>
                </c:pt>
                <c:pt idx="155">
                  <c:v>-3.7352983951568604</c:v>
                </c:pt>
                <c:pt idx="156">
                  <c:v>-3.6746282577514648</c:v>
                </c:pt>
                <c:pt idx="157">
                  <c:v>-3.6119840145111084</c:v>
                </c:pt>
                <c:pt idx="158">
                  <c:v>-3.5473873615264893</c:v>
                </c:pt>
                <c:pt idx="159">
                  <c:v>-3.4806945323944092</c:v>
                </c:pt>
                <c:pt idx="160">
                  <c:v>-3.4120216369628906</c:v>
                </c:pt>
                <c:pt idx="161">
                  <c:v>-3.3412573337554932</c:v>
                </c:pt>
                <c:pt idx="162">
                  <c:v>-3.2683484554290771</c:v>
                </c:pt>
                <c:pt idx="163">
                  <c:v>-3.1932756900787354</c:v>
                </c:pt>
                <c:pt idx="164">
                  <c:v>-3.1160786151885986</c:v>
                </c:pt>
                <c:pt idx="165">
                  <c:v>-3.0366702079772949</c:v>
                </c:pt>
                <c:pt idx="166">
                  <c:v>-2.955035924911499</c:v>
                </c:pt>
                <c:pt idx="167">
                  <c:v>-2.8711278438568115</c:v>
                </c:pt>
                <c:pt idx="168">
                  <c:v>-2.7849521636962891</c:v>
                </c:pt>
                <c:pt idx="169">
                  <c:v>-2.6964957714080811</c:v>
                </c:pt>
                <c:pt idx="170">
                  <c:v>-2.6056699752807617</c:v>
                </c:pt>
                <c:pt idx="171">
                  <c:v>-2.5125472545623779</c:v>
                </c:pt>
                <c:pt idx="172">
                  <c:v>-2.4169943332672119</c:v>
                </c:pt>
                <c:pt idx="173">
                  <c:v>-2.3191068172454834</c:v>
                </c:pt>
                <c:pt idx="174">
                  <c:v>-2.2188405990600586</c:v>
                </c:pt>
                <c:pt idx="175">
                  <c:v>-2.1161952018737793</c:v>
                </c:pt>
                <c:pt idx="176">
                  <c:v>-2.0110507011413574</c:v>
                </c:pt>
                <c:pt idx="177">
                  <c:v>-1.9034761190414429</c:v>
                </c:pt>
                <c:pt idx="178">
                  <c:v>-1.7934740781784058</c:v>
                </c:pt>
                <c:pt idx="179">
                  <c:v>-1.6810562610626221</c:v>
                </c:pt>
                <c:pt idx="180">
                  <c:v>-1.5661171674728394</c:v>
                </c:pt>
                <c:pt idx="181">
                  <c:v>-1.4487451314926147</c:v>
                </c:pt>
                <c:pt idx="182">
                  <c:v>-1.3289703130722046</c:v>
                </c:pt>
                <c:pt idx="183">
                  <c:v>-1.2067232131958008</c:v>
                </c:pt>
                <c:pt idx="184">
                  <c:v>-1.0820558071136475</c:v>
                </c:pt>
                <c:pt idx="185">
                  <c:v>-0.95501506328582764</c:v>
                </c:pt>
                <c:pt idx="186">
                  <c:v>-0.82556241750717163</c:v>
                </c:pt>
                <c:pt idx="187">
                  <c:v>-0.6936219334602356</c:v>
                </c:pt>
                <c:pt idx="188">
                  <c:v>-0.55952531099319458</c:v>
                </c:pt>
                <c:pt idx="189">
                  <c:v>-0.42305997014045715</c:v>
                </c:pt>
                <c:pt idx="190">
                  <c:v>-0.28424930572509766</c:v>
                </c:pt>
                <c:pt idx="191">
                  <c:v>-0.14320103824138641</c:v>
                </c:pt>
                <c:pt idx="192">
                  <c:v>4.4360192987369373E-5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46-4FF3-B95E-0934BE53C30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formes!$D$1:$D$200</c:f>
              <c:numCache>
                <c:formatCode>General</c:formatCode>
                <c:ptCount val="200"/>
                <c:pt idx="2">
                  <c:v>0</c:v>
                </c:pt>
                <c:pt idx="3">
                  <c:v>0.52105263157894732</c:v>
                </c:pt>
                <c:pt idx="4">
                  <c:v>1.0421052631578946</c:v>
                </c:pt>
                <c:pt idx="5">
                  <c:v>1.5631578947368421</c:v>
                </c:pt>
                <c:pt idx="6">
                  <c:v>2.0842105263157893</c:v>
                </c:pt>
                <c:pt idx="7">
                  <c:v>2.6052631578947367</c:v>
                </c:pt>
                <c:pt idx="8">
                  <c:v>3.1263157894736842</c:v>
                </c:pt>
                <c:pt idx="9">
                  <c:v>3.6473684210526316</c:v>
                </c:pt>
                <c:pt idx="10">
                  <c:v>4.1684210526315786</c:v>
                </c:pt>
                <c:pt idx="11">
                  <c:v>4.689473684210526</c:v>
                </c:pt>
                <c:pt idx="12">
                  <c:v>5.2105263157894735</c:v>
                </c:pt>
                <c:pt idx="13">
                  <c:v>5.7315789473684209</c:v>
                </c:pt>
                <c:pt idx="14">
                  <c:v>6.2526315789473683</c:v>
                </c:pt>
                <c:pt idx="15">
                  <c:v>6.7736842105263158</c:v>
                </c:pt>
                <c:pt idx="16">
                  <c:v>7.2947368421052632</c:v>
                </c:pt>
                <c:pt idx="17">
                  <c:v>7.8157894736842106</c:v>
                </c:pt>
                <c:pt idx="18">
                  <c:v>8.3368421052631572</c:v>
                </c:pt>
                <c:pt idx="19">
                  <c:v>8.8578947368421055</c:v>
                </c:pt>
                <c:pt idx="20">
                  <c:v>9.378947368421052</c:v>
                </c:pt>
                <c:pt idx="21">
                  <c:v>9.9</c:v>
                </c:pt>
                <c:pt idx="22">
                  <c:v>10.421052631578947</c:v>
                </c:pt>
                <c:pt idx="23">
                  <c:v>10.942105263157895</c:v>
                </c:pt>
                <c:pt idx="24">
                  <c:v>11.463157894736842</c:v>
                </c:pt>
                <c:pt idx="25">
                  <c:v>11.98421052631579</c:v>
                </c:pt>
                <c:pt idx="26">
                  <c:v>12.505263157894737</c:v>
                </c:pt>
                <c:pt idx="27">
                  <c:v>13.026315789473685</c:v>
                </c:pt>
                <c:pt idx="28">
                  <c:v>13.547368421052632</c:v>
                </c:pt>
                <c:pt idx="29">
                  <c:v>14.06842105263158</c:v>
                </c:pt>
                <c:pt idx="30">
                  <c:v>14.589473684210526</c:v>
                </c:pt>
                <c:pt idx="31">
                  <c:v>15.110526315789473</c:v>
                </c:pt>
                <c:pt idx="32">
                  <c:v>15.631578947368421</c:v>
                </c:pt>
                <c:pt idx="33">
                  <c:v>16.152631578947368</c:v>
                </c:pt>
                <c:pt idx="34">
                  <c:v>16.673684210526314</c:v>
                </c:pt>
                <c:pt idx="35">
                  <c:v>17.194736842105264</c:v>
                </c:pt>
                <c:pt idx="36">
                  <c:v>17.715789473684211</c:v>
                </c:pt>
                <c:pt idx="37">
                  <c:v>18.236842105263158</c:v>
                </c:pt>
                <c:pt idx="38">
                  <c:v>18.757894736842104</c:v>
                </c:pt>
                <c:pt idx="39">
                  <c:v>19.278947368421054</c:v>
                </c:pt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  <c:pt idx="130">
                  <c:v>66.694736842105257</c:v>
                </c:pt>
                <c:pt idx="131">
                  <c:v>67.215789473684211</c:v>
                </c:pt>
                <c:pt idx="132">
                  <c:v>67.736842105263165</c:v>
                </c:pt>
                <c:pt idx="133">
                  <c:v>68.257894736842104</c:v>
                </c:pt>
                <c:pt idx="134">
                  <c:v>68.778947368421058</c:v>
                </c:pt>
                <c:pt idx="135">
                  <c:v>69.3</c:v>
                </c:pt>
                <c:pt idx="136">
                  <c:v>69.821052631578951</c:v>
                </c:pt>
                <c:pt idx="137">
                  <c:v>70.34210526315789</c:v>
                </c:pt>
                <c:pt idx="138">
                  <c:v>70.863157894736844</c:v>
                </c:pt>
                <c:pt idx="139">
                  <c:v>71.384210526315783</c:v>
                </c:pt>
                <c:pt idx="140">
                  <c:v>71.905263157894737</c:v>
                </c:pt>
                <c:pt idx="141">
                  <c:v>72.426315789473691</c:v>
                </c:pt>
                <c:pt idx="142">
                  <c:v>72.94736842105263</c:v>
                </c:pt>
                <c:pt idx="143">
                  <c:v>73.468421052631584</c:v>
                </c:pt>
                <c:pt idx="144">
                  <c:v>73.989473684210523</c:v>
                </c:pt>
                <c:pt idx="145">
                  <c:v>74.510526315789477</c:v>
                </c:pt>
                <c:pt idx="146">
                  <c:v>75.031578947368416</c:v>
                </c:pt>
                <c:pt idx="147">
                  <c:v>75.55263157894737</c:v>
                </c:pt>
                <c:pt idx="148">
                  <c:v>76.073684210526309</c:v>
                </c:pt>
                <c:pt idx="149">
                  <c:v>76.594736842105263</c:v>
                </c:pt>
                <c:pt idx="150">
                  <c:v>77.115789473684217</c:v>
                </c:pt>
                <c:pt idx="151">
                  <c:v>77.636842105263156</c:v>
                </c:pt>
                <c:pt idx="152">
                  <c:v>78.15789473684211</c:v>
                </c:pt>
                <c:pt idx="153">
                  <c:v>78.678947368421049</c:v>
                </c:pt>
                <c:pt idx="154">
                  <c:v>79.2</c:v>
                </c:pt>
                <c:pt idx="155">
                  <c:v>79.721052631578942</c:v>
                </c:pt>
                <c:pt idx="156">
                  <c:v>80.242105263157896</c:v>
                </c:pt>
                <c:pt idx="157">
                  <c:v>80.763157894736835</c:v>
                </c:pt>
                <c:pt idx="158">
                  <c:v>81.284210526315789</c:v>
                </c:pt>
                <c:pt idx="159">
                  <c:v>81.805263157894743</c:v>
                </c:pt>
                <c:pt idx="160">
                  <c:v>82.326315789473682</c:v>
                </c:pt>
                <c:pt idx="161">
                  <c:v>82.847368421052636</c:v>
                </c:pt>
                <c:pt idx="162">
                  <c:v>83.368421052631575</c:v>
                </c:pt>
                <c:pt idx="163">
                  <c:v>83.889473684210529</c:v>
                </c:pt>
                <c:pt idx="164">
                  <c:v>84.410526315789468</c:v>
                </c:pt>
                <c:pt idx="165">
                  <c:v>84.931578947368422</c:v>
                </c:pt>
                <c:pt idx="166">
                  <c:v>85.452631578947361</c:v>
                </c:pt>
                <c:pt idx="167">
                  <c:v>85.973684210526315</c:v>
                </c:pt>
                <c:pt idx="168">
                  <c:v>86.494736842105269</c:v>
                </c:pt>
                <c:pt idx="169">
                  <c:v>87.015789473684208</c:v>
                </c:pt>
                <c:pt idx="170">
                  <c:v>87.536842105263162</c:v>
                </c:pt>
                <c:pt idx="171">
                  <c:v>88.057894736842101</c:v>
                </c:pt>
                <c:pt idx="172">
                  <c:v>88.578947368421055</c:v>
                </c:pt>
                <c:pt idx="173">
                  <c:v>89.1</c:v>
                </c:pt>
                <c:pt idx="174">
                  <c:v>89.621052631578948</c:v>
                </c:pt>
                <c:pt idx="175">
                  <c:v>90.142105263157902</c:v>
                </c:pt>
                <c:pt idx="176">
                  <c:v>90.663157894736841</c:v>
                </c:pt>
                <c:pt idx="177">
                  <c:v>91.184210526315795</c:v>
                </c:pt>
                <c:pt idx="178">
                  <c:v>91.705263157894734</c:v>
                </c:pt>
                <c:pt idx="179">
                  <c:v>92.226315789473688</c:v>
                </c:pt>
                <c:pt idx="180">
                  <c:v>92.747368421052627</c:v>
                </c:pt>
                <c:pt idx="181">
                  <c:v>93.268421052631581</c:v>
                </c:pt>
                <c:pt idx="182">
                  <c:v>93.78947368421052</c:v>
                </c:pt>
              </c:numCache>
            </c:numRef>
          </c:xVal>
          <c:yVal>
            <c:numRef>
              <c:f>formes!$E$1:$E$200</c:f>
              <c:numCache>
                <c:formatCode>General</c:formatCode>
                <c:ptCount val="200"/>
                <c:pt idx="2">
                  <c:v>2.0258083312701753</c:v>
                </c:pt>
                <c:pt idx="3">
                  <c:v>1.8915892360932625</c:v>
                </c:pt>
                <c:pt idx="4">
                  <c:v>1.7585892536242609</c:v>
                </c:pt>
                <c:pt idx="5">
                  <c:v>1.6268053237991309</c:v>
                </c:pt>
                <c:pt idx="6">
                  <c:v>1.4962375897225479</c:v>
                </c:pt>
                <c:pt idx="7">
                  <c:v>1.3668888468392293</c:v>
                </c:pt>
                <c:pt idx="8">
                  <c:v>1.2387637538653216</c:v>
                </c:pt>
                <c:pt idx="9">
                  <c:v>1.1118699244596397</c:v>
                </c:pt>
                <c:pt idx="10">
                  <c:v>0.98621569266784537</c:v>
                </c:pt>
                <c:pt idx="11">
                  <c:v>0.86181144260140141</c:v>
                </c:pt>
                <c:pt idx="12">
                  <c:v>0.7386683671027352</c:v>
                </c:pt>
                <c:pt idx="13">
                  <c:v>0.61679887079234308</c:v>
                </c:pt>
                <c:pt idx="14">
                  <c:v>0.49621558550740541</c:v>
                </c:pt>
                <c:pt idx="15">
                  <c:v>0.37231711025663217</c:v>
                </c:pt>
                <c:pt idx="16">
                  <c:v>0.25429596042295588</c:v>
                </c:pt>
                <c:pt idx="17">
                  <c:v>0.13760364183758161</c:v>
                </c:pt>
                <c:pt idx="18">
                  <c:v>2.2253985787376834E-2</c:v>
                </c:pt>
                <c:pt idx="19">
                  <c:v>-9.1739258427548098E-2</c:v>
                </c:pt>
                <c:pt idx="20">
                  <c:v>-0.20436270611986282</c:v>
                </c:pt>
                <c:pt idx="21">
                  <c:v>-0.31560320379674911</c:v>
                </c:pt>
                <c:pt idx="22">
                  <c:v>-0.42544813959251659</c:v>
                </c:pt>
                <c:pt idx="23">
                  <c:v>-0.53388548232239263</c:v>
                </c:pt>
                <c:pt idx="24">
                  <c:v>-0.64090378141668225</c:v>
                </c:pt>
                <c:pt idx="25">
                  <c:v>-0.74649253905196078</c:v>
                </c:pt>
                <c:pt idx="26">
                  <c:v>-0.85064156323151352</c:v>
                </c:pt>
                <c:pt idx="27">
                  <c:v>-0.95334162775146958</c:v>
                </c:pt>
                <c:pt idx="28">
                  <c:v>-1.0545846930199265</c:v>
                </c:pt>
                <c:pt idx="29">
                  <c:v>-1.1543632211356138</c:v>
                </c:pt>
                <c:pt idx="30">
                  <c:v>-1.2526704288827897</c:v>
                </c:pt>
                <c:pt idx="31">
                  <c:v>-1.3495010142910289</c:v>
                </c:pt>
                <c:pt idx="32">
                  <c:v>-1.4448501566480529</c:v>
                </c:pt>
                <c:pt idx="33">
                  <c:v>-1.5387137446010375</c:v>
                </c:pt>
                <c:pt idx="34">
                  <c:v>-1.6310898125889712</c:v>
                </c:pt>
                <c:pt idx="35">
                  <c:v>-1.7219755661435721</c:v>
                </c:pt>
                <c:pt idx="36">
                  <c:v>-1.8113701137488452</c:v>
                </c:pt>
                <c:pt idx="37">
                  <c:v>-1.8992734541824885</c:v>
                </c:pt>
                <c:pt idx="38">
                  <c:v>-1.9856868546152349</c:v>
                </c:pt>
                <c:pt idx="39">
                  <c:v>-2.0706107859718816</c:v>
                </c:pt>
                <c:pt idx="40">
                  <c:v>-2.1540490991771284</c:v>
                </c:pt>
                <c:pt idx="41">
                  <c:v>-2.2360039674369485</c:v>
                </c:pt>
                <c:pt idx="42">
                  <c:v>-2.3164809764107042</c:v>
                </c:pt>
                <c:pt idx="43">
                  <c:v>-2.3954833913687659</c:v>
                </c:pt>
                <c:pt idx="44">
                  <c:v>-2.473017107360644</c:v>
                </c:pt>
                <c:pt idx="45">
                  <c:v>-2.5490891640566327</c:v>
                </c:pt>
                <c:pt idx="46">
                  <c:v>-2.6237064452668841</c:v>
                </c:pt>
                <c:pt idx="47">
                  <c:v>-2.6968759090558669</c:v>
                </c:pt>
                <c:pt idx="48">
                  <c:v>-2.7686058812540022</c:v>
                </c:pt>
                <c:pt idx="49">
                  <c:v>-2.8333114023578911</c:v>
                </c:pt>
                <c:pt idx="50">
                  <c:v>-2.9021827183174178</c:v>
                </c:pt>
                <c:pt idx="51">
                  <c:v>-2.969643683413532</c:v>
                </c:pt>
                <c:pt idx="52">
                  <c:v>-3.0357042645796484</c:v>
                </c:pt>
                <c:pt idx="53">
                  <c:v>-3.1003752609332249</c:v>
                </c:pt>
                <c:pt idx="54">
                  <c:v>-3.1636675090019919</c:v>
                </c:pt>
                <c:pt idx="55">
                  <c:v>-3.2255931560927236</c:v>
                </c:pt>
                <c:pt idx="56">
                  <c:v>-3.2861622132105888</c:v>
                </c:pt>
                <c:pt idx="57">
                  <c:v>-3.3453880223862629</c:v>
                </c:pt>
                <c:pt idx="58">
                  <c:v>-3.4032825809614691</c:v>
                </c:pt>
                <c:pt idx="59">
                  <c:v>-3.4598567797183475</c:v>
                </c:pt>
                <c:pt idx="60">
                  <c:v>-3.5151259093562768</c:v>
                </c:pt>
                <c:pt idx="61">
                  <c:v>-3.5690990849447068</c:v>
                </c:pt>
                <c:pt idx="62">
                  <c:v>-3.6217913246241489</c:v>
                </c:pt>
                <c:pt idx="63">
                  <c:v>-3.6732149676025347</c:v>
                </c:pt>
                <c:pt idx="64">
                  <c:v>-3.7233817520801784</c:v>
                </c:pt>
                <c:pt idx="65">
                  <c:v>-3.7723069356924963</c:v>
                </c:pt>
                <c:pt idx="66">
                  <c:v>-3.8200010992752804</c:v>
                </c:pt>
                <c:pt idx="67">
                  <c:v>-3.8664779133088052</c:v>
                </c:pt>
                <c:pt idx="68">
                  <c:v>-3.9057773659094557</c:v>
                </c:pt>
                <c:pt idx="69">
                  <c:v>-3.9498684823978429</c:v>
                </c:pt>
                <c:pt idx="70">
                  <c:v>-3.9927809984485663</c:v>
                </c:pt>
                <c:pt idx="71">
                  <c:v>-4.0345261903527128</c:v>
                </c:pt>
                <c:pt idx="72">
                  <c:v>-4.0751166187793597</c:v>
                </c:pt>
                <c:pt idx="73">
                  <c:v>-4.1145644625552391</c:v>
                </c:pt>
                <c:pt idx="74">
                  <c:v>-4.1528811329413813</c:v>
                </c:pt>
                <c:pt idx="75">
                  <c:v>-4.1900780425860962</c:v>
                </c:pt>
                <c:pt idx="76">
                  <c:v>-4.2261658980136652</c:v>
                </c:pt>
                <c:pt idx="77">
                  <c:v>-4.2611566509979877</c:v>
                </c:pt>
                <c:pt idx="78">
                  <c:v>-4.2950614827550186</c:v>
                </c:pt>
                <c:pt idx="79">
                  <c:v>-4.3278871304076798</c:v>
                </c:pt>
                <c:pt idx="80">
                  <c:v>-4.3534685025267255</c:v>
                </c:pt>
                <c:pt idx="81">
                  <c:v>-4.3841930551273762</c:v>
                </c:pt>
                <c:pt idx="82">
                  <c:v>-4.4138702341300498</c:v>
                </c:pt>
                <c:pt idx="83">
                  <c:v>-4.4425093834338476</c:v>
                </c:pt>
                <c:pt idx="84">
                  <c:v>-4.4701162987718348</c:v>
                </c:pt>
                <c:pt idx="85">
                  <c:v>-4.4967031191865292</c:v>
                </c:pt>
                <c:pt idx="86">
                  <c:v>-4.5222752763806522</c:v>
                </c:pt>
                <c:pt idx="87">
                  <c:v>-4.5468395684618947</c:v>
                </c:pt>
                <c:pt idx="88">
                  <c:v>-4.5704047820936662</c:v>
                </c:pt>
                <c:pt idx="89">
                  <c:v>-4.5866377274961874</c:v>
                </c:pt>
                <c:pt idx="90">
                  <c:v>-4.6082485733102914</c:v>
                </c:pt>
                <c:pt idx="91">
                  <c:v>-4.6288788136280195</c:v>
                </c:pt>
                <c:pt idx="92">
                  <c:v>-4.6485292405655541</c:v>
                </c:pt>
                <c:pt idx="93">
                  <c:v>-4.6672075402002715</c:v>
                </c:pt>
                <c:pt idx="94">
                  <c:v>-4.6849151607936639</c:v>
                </c:pt>
                <c:pt idx="95">
                  <c:v>-4.7016586970738832</c:v>
                </c:pt>
                <c:pt idx="96">
                  <c:v>-4.7109602487931932</c:v>
                </c:pt>
                <c:pt idx="97">
                  <c:v>-4.725816133207636</c:v>
                </c:pt>
                <c:pt idx="98">
                  <c:v>-4.7397111119489548</c:v>
                </c:pt>
                <c:pt idx="99">
                  <c:v>-4.7526517038872171</c:v>
                </c:pt>
                <c:pt idx="100">
                  <c:v>-4.7646327350954056</c:v>
                </c:pt>
                <c:pt idx="101">
                  <c:v>-4.7690167781899531</c:v>
                </c:pt>
                <c:pt idx="102">
                  <c:v>-4.7791250851635283</c:v>
                </c:pt>
                <c:pt idx="103">
                  <c:v>-4.7882777558310021</c:v>
                </c:pt>
                <c:pt idx="104">
                  <c:v>-4.7964714704189007</c:v>
                </c:pt>
                <c:pt idx="105">
                  <c:v>-4.8037018667471187</c:v>
                </c:pt>
                <c:pt idx="106">
                  <c:v>-4.803200940983551</c:v>
                </c:pt>
                <c:pt idx="107">
                  <c:v>-4.8085453229944246</c:v>
                </c:pt>
                <c:pt idx="108">
                  <c:v>-4.812923228627076</c:v>
                </c:pt>
                <c:pt idx="109">
                  <c:v>-4.8163214197124686</c:v>
                </c:pt>
                <c:pt idx="110">
                  <c:v>-4.8187387429602548</c:v>
                </c:pt>
                <c:pt idx="111">
                  <c:v>-4.8133100291979662</c:v>
                </c:pt>
                <c:pt idx="112">
                  <c:v>-4.8137987920136949</c:v>
                </c:pt>
                <c:pt idx="113">
                  <c:v>-4.8132825175174547</c:v>
                </c:pt>
                <c:pt idx="114">
                  <c:v>-4.8117638216520984</c:v>
                </c:pt>
                <c:pt idx="115">
                  <c:v>-4.8022611040548906</c:v>
                </c:pt>
                <c:pt idx="116">
                  <c:v>-4.7987496187539911</c:v>
                </c:pt>
                <c:pt idx="117">
                  <c:v>-4.7942042038073875</c:v>
                </c:pt>
                <c:pt idx="118">
                  <c:v>-4.7815156155201439</c:v>
                </c:pt>
                <c:pt idx="119">
                  <c:v>-4.7749188218520189</c:v>
                </c:pt>
                <c:pt idx="120">
                  <c:v>-4.7672591587457696</c:v>
                </c:pt>
                <c:pt idx="121">
                  <c:v>-4.7513134938790955</c:v>
                </c:pt>
                <c:pt idx="122">
                  <c:v>-4.7415334628913897</c:v>
                </c:pt>
                <c:pt idx="123">
                  <c:v>-4.7306502110381423</c:v>
                </c:pt>
                <c:pt idx="124">
                  <c:v>-4.7113384558021618</c:v>
                </c:pt>
                <c:pt idx="125">
                  <c:v>-4.6982597031599429</c:v>
                </c:pt>
                <c:pt idx="126">
                  <c:v>-4.6765780344070098</c:v>
                </c:pt>
                <c:pt idx="127">
                  <c:v>-4.6612374830577945</c:v>
                </c:pt>
                <c:pt idx="128">
                  <c:v>-4.6371390178936229</c:v>
                </c:pt>
                <c:pt idx="129">
                  <c:v>-4.619475237423611</c:v>
                </c:pt>
                <c:pt idx="130">
                  <c:v>-4.6005830984543739</c:v>
                </c:pt>
                <c:pt idx="131">
                  <c:v>-4.572837842939169</c:v>
                </c:pt>
                <c:pt idx="132">
                  <c:v>-4.5515081233123045</c:v>
                </c:pt>
                <c:pt idx="133">
                  <c:v>-4.5211943291736567</c:v>
                </c:pt>
                <c:pt idx="134">
                  <c:v>-4.4894760523952204</c:v>
                </c:pt>
                <c:pt idx="135">
                  <c:v>-4.4643840268424055</c:v>
                </c:pt>
                <c:pt idx="136">
                  <c:v>-4.4299926791593354</c:v>
                </c:pt>
                <c:pt idx="137">
                  <c:v>-4.4022425824750311</c:v>
                </c:pt>
                <c:pt idx="138">
                  <c:v>-4.365104940784363</c:v>
                </c:pt>
                <c:pt idx="139">
                  <c:v>-4.3264703308525325</c:v>
                </c:pt>
                <c:pt idx="140">
                  <c:v>-4.286355505220671</c:v>
                </c:pt>
                <c:pt idx="141">
                  <c:v>-4.25311879873379</c:v>
                </c:pt>
                <c:pt idx="142">
                  <c:v>-4.2100763846120284</c:v>
                </c:pt>
                <c:pt idx="143">
                  <c:v>-4.1654701723000311</c:v>
                </c:pt>
                <c:pt idx="144">
                  <c:v>-4.1192962261338852</c:v>
                </c:pt>
                <c:pt idx="145">
                  <c:v>-4.0715204828001887</c:v>
                </c:pt>
                <c:pt idx="146">
                  <c:v>-4.0221450881990943</c:v>
                </c:pt>
                <c:pt idx="147">
                  <c:v>-3.9711236919086517</c:v>
                </c:pt>
                <c:pt idx="148">
                  <c:v>-3.9184451295689833</c:v>
                </c:pt>
                <c:pt idx="149">
                  <c:v>-3.8640987235971211</c:v>
                </c:pt>
                <c:pt idx="150">
                  <c:v>-3.8080173658225376</c:v>
                </c:pt>
                <c:pt idx="151">
                  <c:v>-3.7502360877628451</c:v>
                </c:pt>
                <c:pt idx="152">
                  <c:v>-3.6812942749151096</c:v>
                </c:pt>
                <c:pt idx="153">
                  <c:v>-3.6199151907396119</c:v>
                </c:pt>
                <c:pt idx="154">
                  <c:v>-3.5470451699338081</c:v>
                </c:pt>
                <c:pt idx="155">
                  <c:v>-3.4819943125874051</c:v>
                </c:pt>
                <c:pt idx="156">
                  <c:v>-3.4051324678023454</c:v>
                </c:pt>
                <c:pt idx="157">
                  <c:v>-3.3261366250206024</c:v>
                </c:pt>
                <c:pt idx="158">
                  <c:v>-3.245041958037838</c:v>
                </c:pt>
                <c:pt idx="159">
                  <c:v>-3.161744169029677</c:v>
                </c:pt>
                <c:pt idx="160">
                  <c:v>-3.0763463146697072</c:v>
                </c:pt>
                <c:pt idx="161">
                  <c:v>-2.9887770102087146</c:v>
                </c:pt>
                <c:pt idx="162">
                  <c:v>-2.8876600537680401</c:v>
                </c:pt>
                <c:pt idx="163">
                  <c:v>-2.7954902462579616</c:v>
                </c:pt>
                <c:pt idx="164">
                  <c:v>-2.6892907702070663</c:v>
                </c:pt>
                <c:pt idx="165">
                  <c:v>-2.5803356996405338</c:v>
                </c:pt>
                <c:pt idx="166">
                  <c:v>-2.455918148862942</c:v>
                </c:pt>
                <c:pt idx="167">
                  <c:v>-2.3278808597905627</c:v>
                </c:pt>
                <c:pt idx="168">
                  <c:v>-2.1961901325286335</c:v>
                </c:pt>
                <c:pt idx="169">
                  <c:v>-2.0608491980723307</c:v>
                </c:pt>
                <c:pt idx="170">
                  <c:v>-1.9067757951879369</c:v>
                </c:pt>
                <c:pt idx="171">
                  <c:v>-1.7317500771613443</c:v>
                </c:pt>
                <c:pt idx="172">
                  <c:v>-1.5497970159507894</c:v>
                </c:pt>
                <c:pt idx="173">
                  <c:v>-1.3426258075913884</c:v>
                </c:pt>
                <c:pt idx="174">
                  <c:v>-1.0862217525962565</c:v>
                </c:pt>
                <c:pt idx="175">
                  <c:v>-0.81312608580819901</c:v>
                </c:pt>
                <c:pt idx="176">
                  <c:v>-0.47384306043725255</c:v>
                </c:pt>
                <c:pt idx="177">
                  <c:v>-2.2413650927873841E-2</c:v>
                </c:pt>
                <c:pt idx="178">
                  <c:v>0.54766298780500566</c:v>
                </c:pt>
                <c:pt idx="179">
                  <c:v>1.35477714200122</c:v>
                </c:pt>
                <c:pt idx="180">
                  <c:v>2.5576763914472993</c:v>
                </c:pt>
                <c:pt idx="181">
                  <c:v>4.5016692945078152</c:v>
                </c:pt>
                <c:pt idx="182">
                  <c:v>7.8556078863348331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46-4FF3-B95E-0934BE53C301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formes!$F$1:$F$200</c:f>
              <c:numCache>
                <c:formatCode>General</c:formatCode>
                <c:ptCount val="200"/>
                <c:pt idx="2">
                  <c:v>0</c:v>
                </c:pt>
                <c:pt idx="3">
                  <c:v>0.52105263157894732</c:v>
                </c:pt>
                <c:pt idx="4">
                  <c:v>1.0421052631578946</c:v>
                </c:pt>
                <c:pt idx="5">
                  <c:v>1.5631578947368421</c:v>
                </c:pt>
                <c:pt idx="6">
                  <c:v>2.0842105263157893</c:v>
                </c:pt>
                <c:pt idx="7">
                  <c:v>2.6052631578947367</c:v>
                </c:pt>
                <c:pt idx="8">
                  <c:v>3.1263157894736842</c:v>
                </c:pt>
                <c:pt idx="9">
                  <c:v>3.6473684210526316</c:v>
                </c:pt>
                <c:pt idx="10">
                  <c:v>4.1684210526315786</c:v>
                </c:pt>
                <c:pt idx="11">
                  <c:v>4.689473684210526</c:v>
                </c:pt>
                <c:pt idx="12">
                  <c:v>5.2105263157894735</c:v>
                </c:pt>
                <c:pt idx="13">
                  <c:v>5.7315789473684209</c:v>
                </c:pt>
                <c:pt idx="14">
                  <c:v>6.2526315789473683</c:v>
                </c:pt>
                <c:pt idx="15">
                  <c:v>6.7736842105263158</c:v>
                </c:pt>
                <c:pt idx="16">
                  <c:v>7.2947368421052632</c:v>
                </c:pt>
                <c:pt idx="17">
                  <c:v>7.8157894736842106</c:v>
                </c:pt>
                <c:pt idx="18">
                  <c:v>8.3368421052631572</c:v>
                </c:pt>
                <c:pt idx="19">
                  <c:v>8.8578947368421055</c:v>
                </c:pt>
                <c:pt idx="20">
                  <c:v>9.378947368421052</c:v>
                </c:pt>
                <c:pt idx="21">
                  <c:v>9.9</c:v>
                </c:pt>
                <c:pt idx="22">
                  <c:v>10.421052631578947</c:v>
                </c:pt>
                <c:pt idx="23">
                  <c:v>10.942105263157895</c:v>
                </c:pt>
                <c:pt idx="24">
                  <c:v>11.463157894736842</c:v>
                </c:pt>
                <c:pt idx="25">
                  <c:v>11.98421052631579</c:v>
                </c:pt>
                <c:pt idx="26">
                  <c:v>12.505263157894737</c:v>
                </c:pt>
                <c:pt idx="27">
                  <c:v>13.026315789473685</c:v>
                </c:pt>
                <c:pt idx="28">
                  <c:v>13.547368421052632</c:v>
                </c:pt>
                <c:pt idx="29">
                  <c:v>14.06842105263158</c:v>
                </c:pt>
                <c:pt idx="30">
                  <c:v>14.589473684210526</c:v>
                </c:pt>
                <c:pt idx="31">
                  <c:v>15.110526315789473</c:v>
                </c:pt>
                <c:pt idx="32">
                  <c:v>15.631578947368421</c:v>
                </c:pt>
                <c:pt idx="33">
                  <c:v>16.152631578947368</c:v>
                </c:pt>
                <c:pt idx="34">
                  <c:v>16.673684210526314</c:v>
                </c:pt>
                <c:pt idx="35">
                  <c:v>17.194736842105264</c:v>
                </c:pt>
                <c:pt idx="36">
                  <c:v>17.715789473684211</c:v>
                </c:pt>
                <c:pt idx="37">
                  <c:v>18.236842105263158</c:v>
                </c:pt>
                <c:pt idx="38">
                  <c:v>18.757894736842104</c:v>
                </c:pt>
                <c:pt idx="39">
                  <c:v>19.278947368421054</c:v>
                </c:pt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  <c:pt idx="130">
                  <c:v>66.694736842105257</c:v>
                </c:pt>
                <c:pt idx="131">
                  <c:v>67.215789473684211</c:v>
                </c:pt>
                <c:pt idx="132">
                  <c:v>67.736842105263165</c:v>
                </c:pt>
                <c:pt idx="133">
                  <c:v>68.257894736842104</c:v>
                </c:pt>
                <c:pt idx="134">
                  <c:v>68.778947368421058</c:v>
                </c:pt>
                <c:pt idx="135">
                  <c:v>69.3</c:v>
                </c:pt>
                <c:pt idx="136">
                  <c:v>69.821052631578951</c:v>
                </c:pt>
                <c:pt idx="137">
                  <c:v>70.34210526315789</c:v>
                </c:pt>
                <c:pt idx="138">
                  <c:v>70.863157894736844</c:v>
                </c:pt>
                <c:pt idx="139">
                  <c:v>71.384210526315783</c:v>
                </c:pt>
                <c:pt idx="140">
                  <c:v>71.905263157894737</c:v>
                </c:pt>
                <c:pt idx="141">
                  <c:v>72.426315789473691</c:v>
                </c:pt>
                <c:pt idx="142">
                  <c:v>72.94736842105263</c:v>
                </c:pt>
                <c:pt idx="143">
                  <c:v>73.468421052631584</c:v>
                </c:pt>
                <c:pt idx="144">
                  <c:v>73.989473684210523</c:v>
                </c:pt>
                <c:pt idx="145">
                  <c:v>74.510526315789477</c:v>
                </c:pt>
                <c:pt idx="146">
                  <c:v>75.031578947368416</c:v>
                </c:pt>
                <c:pt idx="147">
                  <c:v>75.55263157894737</c:v>
                </c:pt>
                <c:pt idx="148">
                  <c:v>76.073684210526309</c:v>
                </c:pt>
                <c:pt idx="149">
                  <c:v>76.594736842105263</c:v>
                </c:pt>
                <c:pt idx="150">
                  <c:v>77.115789473684217</c:v>
                </c:pt>
                <c:pt idx="151">
                  <c:v>77.636842105263156</c:v>
                </c:pt>
                <c:pt idx="152">
                  <c:v>78.15789473684211</c:v>
                </c:pt>
                <c:pt idx="153">
                  <c:v>78.678947368421049</c:v>
                </c:pt>
                <c:pt idx="154">
                  <c:v>79.2</c:v>
                </c:pt>
                <c:pt idx="155">
                  <c:v>79.721052631578942</c:v>
                </c:pt>
                <c:pt idx="156">
                  <c:v>80.242105263157896</c:v>
                </c:pt>
                <c:pt idx="157">
                  <c:v>80.763157894736835</c:v>
                </c:pt>
                <c:pt idx="158">
                  <c:v>81.284210526315789</c:v>
                </c:pt>
                <c:pt idx="159">
                  <c:v>81.805263157894743</c:v>
                </c:pt>
                <c:pt idx="160">
                  <c:v>82.326315789473682</c:v>
                </c:pt>
                <c:pt idx="161">
                  <c:v>82.847368421052636</c:v>
                </c:pt>
                <c:pt idx="162">
                  <c:v>83.368421052631575</c:v>
                </c:pt>
                <c:pt idx="163">
                  <c:v>83.889473684210529</c:v>
                </c:pt>
                <c:pt idx="164">
                  <c:v>84.410526315789468</c:v>
                </c:pt>
                <c:pt idx="165">
                  <c:v>84.931578947368422</c:v>
                </c:pt>
                <c:pt idx="166">
                  <c:v>85.452631578947361</c:v>
                </c:pt>
                <c:pt idx="167">
                  <c:v>85.973684210526315</c:v>
                </c:pt>
                <c:pt idx="168">
                  <c:v>86.494736842105269</c:v>
                </c:pt>
                <c:pt idx="169">
                  <c:v>87.015789473684208</c:v>
                </c:pt>
                <c:pt idx="170">
                  <c:v>87.536842105263162</c:v>
                </c:pt>
              </c:numCache>
            </c:numRef>
          </c:xVal>
          <c:yVal>
            <c:numRef>
              <c:f>formes!$G$1:$G$200</c:f>
              <c:numCache>
                <c:formatCode>General</c:formatCode>
                <c:ptCount val="200"/>
                <c:pt idx="2">
                  <c:v>2.1210742369219</c:v>
                </c:pt>
                <c:pt idx="3">
                  <c:v>1.9886059654308892</c:v>
                </c:pt>
                <c:pt idx="4">
                  <c:v>1.8494189866941242</c:v>
                </c:pt>
                <c:pt idx="5">
                  <c:v>1.7191796625393065</c:v>
                </c:pt>
                <c:pt idx="6">
                  <c:v>1.5901240424265801</c:v>
                </c:pt>
                <c:pt idx="7">
                  <c:v>1.4622549999627115</c:v>
                </c:pt>
                <c:pt idx="8">
                  <c:v>1.3355772953552563</c:v>
                </c:pt>
                <c:pt idx="9">
                  <c:v>1.2100984918750293</c:v>
                </c:pt>
                <c:pt idx="10">
                  <c:v>1.0773822588313891</c:v>
                </c:pt>
                <c:pt idx="11">
                  <c:v>0.95421326308903809</c:v>
                </c:pt>
                <c:pt idx="12">
                  <c:v>0.8322758912134931</c:v>
                </c:pt>
                <c:pt idx="13">
                  <c:v>0.71158259927639755</c:v>
                </c:pt>
                <c:pt idx="14">
                  <c:v>0.59214605736141002</c:v>
                </c:pt>
                <c:pt idx="15">
                  <c:v>0.4739799354922582</c:v>
                </c:pt>
                <c:pt idx="16">
                  <c:v>0.35709780917236117</c:v>
                </c:pt>
                <c:pt idx="17">
                  <c:v>0.24151367658239112</c:v>
                </c:pt>
                <c:pt idx="18">
                  <c:v>0.12724141221548368</c:v>
                </c:pt>
                <c:pt idx="19">
                  <c:v>1.4294809533921309E-2</c:v>
                </c:pt>
                <c:pt idx="20">
                  <c:v>-0.1065264828778997</c:v>
                </c:pt>
                <c:pt idx="21">
                  <c:v>-0.21686741587039765</c:v>
                </c:pt>
                <c:pt idx="22">
                  <c:v>-0.32584077124519395</c:v>
                </c:pt>
                <c:pt idx="23">
                  <c:v>-0.43343440262961741</c:v>
                </c:pt>
                <c:pt idx="24">
                  <c:v>-0.53963680117739221</c:v>
                </c:pt>
                <c:pt idx="25">
                  <c:v>-0.64443733649311885</c:v>
                </c:pt>
                <c:pt idx="26">
                  <c:v>-0.74782574468800989</c:v>
                </c:pt>
                <c:pt idx="27">
                  <c:v>-0.84979267356309141</c:v>
                </c:pt>
                <c:pt idx="28">
                  <c:v>-0.95032992371704383</c:v>
                </c:pt>
                <c:pt idx="29">
                  <c:v>-1.0494298349742599</c:v>
                </c:pt>
                <c:pt idx="30">
                  <c:v>-1.1470854813103091</c:v>
                </c:pt>
                <c:pt idx="31">
                  <c:v>-1.2432913704509005</c:v>
                </c:pt>
                <c:pt idx="32">
                  <c:v>-1.3380425080767886</c:v>
                </c:pt>
                <c:pt idx="33">
                  <c:v>-1.4313346102942663</c:v>
                </c:pt>
                <c:pt idx="34">
                  <c:v>-1.523165472817289</c:v>
                </c:pt>
                <c:pt idx="35">
                  <c:v>-1.6135321363148891</c:v>
                </c:pt>
                <c:pt idx="36">
                  <c:v>-1.7024334866898252</c:v>
                </c:pt>
                <c:pt idx="37">
                  <c:v>-1.7898692502947759</c:v>
                </c:pt>
                <c:pt idx="38">
                  <c:v>-1.8758404519012013</c:v>
                </c:pt>
                <c:pt idx="39">
                  <c:v>-1.9603474188841363</c:v>
                </c:pt>
                <c:pt idx="40">
                  <c:v>-2.0433935866039654</c:v>
                </c:pt>
                <c:pt idx="41">
                  <c:v>-2.1249809930265338</c:v>
                </c:pt>
                <c:pt idx="42">
                  <c:v>-2.2051148440056538</c:v>
                </c:pt>
                <c:pt idx="43">
                  <c:v>-2.2837981997221455</c:v>
                </c:pt>
                <c:pt idx="44">
                  <c:v>-2.3610366702221262</c:v>
                </c:pt>
                <c:pt idx="45">
                  <c:v>-2.4368369525853066</c:v>
                </c:pt>
                <c:pt idx="46">
                  <c:v>-2.5005763841217137</c:v>
                </c:pt>
                <c:pt idx="47">
                  <c:v>-2.5734973200933817</c:v>
                </c:pt>
                <c:pt idx="48">
                  <c:v>-2.6450034778070095</c:v>
                </c:pt>
                <c:pt idx="49">
                  <c:v>-2.7151041806579768</c:v>
                </c:pt>
                <c:pt idx="50">
                  <c:v>-2.783807111671492</c:v>
                </c:pt>
                <c:pt idx="51">
                  <c:v>-2.8511222431630303</c:v>
                </c:pt>
                <c:pt idx="52">
                  <c:v>-2.9170592792066512</c:v>
                </c:pt>
                <c:pt idx="53">
                  <c:v>-2.9816286282961881</c:v>
                </c:pt>
                <c:pt idx="54">
                  <c:v>-3.0448407688938874</c:v>
                </c:pt>
                <c:pt idx="55">
                  <c:v>-3.1067075518506817</c:v>
                </c:pt>
                <c:pt idx="56">
                  <c:v>-3.1672386329419067</c:v>
                </c:pt>
                <c:pt idx="57">
                  <c:v>-3.226447006981882</c:v>
                </c:pt>
                <c:pt idx="58">
                  <c:v>-3.273258101235986</c:v>
                </c:pt>
                <c:pt idx="59">
                  <c:v>-3.3298552798453667</c:v>
                </c:pt>
                <c:pt idx="60">
                  <c:v>-3.385168563349465</c:v>
                </c:pt>
                <c:pt idx="61">
                  <c:v>-3.4392070287376022</c:v>
                </c:pt>
                <c:pt idx="62">
                  <c:v>-3.4919850715099789</c:v>
                </c:pt>
                <c:pt idx="63">
                  <c:v>-3.5435147447757989</c:v>
                </c:pt>
                <c:pt idx="64">
                  <c:v>-3.5938074038982428</c:v>
                </c:pt>
                <c:pt idx="65">
                  <c:v>-3.6428779431501606</c:v>
                </c:pt>
                <c:pt idx="66">
                  <c:v>-3.6793910802139616</c:v>
                </c:pt>
                <c:pt idx="67">
                  <c:v>-3.7260650925791894</c:v>
                </c:pt>
                <c:pt idx="68">
                  <c:v>-3.7715539181223701</c:v>
                </c:pt>
                <c:pt idx="69">
                  <c:v>-3.8158705759311906</c:v>
                </c:pt>
                <c:pt idx="70">
                  <c:v>-3.8590271061110166</c:v>
                </c:pt>
                <c:pt idx="71">
                  <c:v>-3.9010344503666605</c:v>
                </c:pt>
                <c:pt idx="72">
                  <c:v>-3.9303627542033812</c:v>
                </c:pt>
                <c:pt idx="73">
                  <c:v>-3.970131274887446</c:v>
                </c:pt>
                <c:pt idx="74">
                  <c:v>-4.0087871832711848</c:v>
                </c:pt>
                <c:pt idx="75">
                  <c:v>-4.0463416074234448</c:v>
                </c:pt>
                <c:pt idx="76">
                  <c:v>-4.082804738454838</c:v>
                </c:pt>
                <c:pt idx="77">
                  <c:v>-4.1064814537444647</c:v>
                </c:pt>
                <c:pt idx="78">
                  <c:v>-4.1408269928762005</c:v>
                </c:pt>
                <c:pt idx="79">
                  <c:v>-4.1741116939017058</c:v>
                </c:pt>
                <c:pt idx="80">
                  <c:v>-4.2063485969441032</c:v>
                </c:pt>
                <c:pt idx="81">
                  <c:v>-4.2375458945104709</c:v>
                </c:pt>
                <c:pt idx="82">
                  <c:v>-4.2558847437302436</c:v>
                </c:pt>
                <c:pt idx="83">
                  <c:v>-4.28506716008817</c:v>
                </c:pt>
                <c:pt idx="84">
                  <c:v>-4.3132345782001131</c:v>
                </c:pt>
                <c:pt idx="85">
                  <c:v>-4.3284071350549853</c:v>
                </c:pt>
                <c:pt idx="86">
                  <c:v>-4.3546149299028514</c:v>
                </c:pt>
                <c:pt idx="87">
                  <c:v>-4.379832672927586</c:v>
                </c:pt>
                <c:pt idx="88">
                  <c:v>-4.4040680884031911</c:v>
                </c:pt>
                <c:pt idx="89">
                  <c:v>-4.4152348800798764</c:v>
                </c:pt>
                <c:pt idx="90">
                  <c:v>-4.4375679799627861</c:v>
                </c:pt>
                <c:pt idx="91">
                  <c:v>-4.4589367959807991</c:v>
                </c:pt>
                <c:pt idx="92">
                  <c:v>-4.4671320631963347</c:v>
                </c:pt>
                <c:pt idx="93">
                  <c:v>-4.4866333296053398</c:v>
                </c:pt>
                <c:pt idx="94">
                  <c:v>-4.5051809617862615</c:v>
                </c:pt>
                <c:pt idx="95">
                  <c:v>-4.5104680534718025</c:v>
                </c:pt>
                <c:pt idx="96">
                  <c:v>-4.5271771474697378</c:v>
                </c:pt>
                <c:pt idx="97">
                  <c:v>-4.5429438022235225</c:v>
                </c:pt>
                <c:pt idx="98">
                  <c:v>-4.5453688510248984</c:v>
                </c:pt>
                <c:pt idx="99">
                  <c:v>-4.5593121498965257</c:v>
                </c:pt>
                <c:pt idx="100">
                  <c:v>-4.5597869341278905</c:v>
                </c:pt>
                <c:pt idx="101">
                  <c:v>-4.57191258316473</c:v>
                </c:pt>
                <c:pt idx="102">
                  <c:v>-4.5830975529203748</c:v>
                </c:pt>
                <c:pt idx="103">
                  <c:v>-4.5807644447661726</c:v>
                </c:pt>
                <c:pt idx="104">
                  <c:v>-4.5901335773103931</c:v>
                </c:pt>
                <c:pt idx="105">
                  <c:v>-4.5858732207198809</c:v>
                </c:pt>
                <c:pt idx="106">
                  <c:v>-4.5934204627792488</c:v>
                </c:pt>
                <c:pt idx="107">
                  <c:v>-4.587238951214033</c:v>
                </c:pt>
                <c:pt idx="108">
                  <c:v>-4.5929566790973482</c:v>
                </c:pt>
                <c:pt idx="109">
                  <c:v>-4.5848507677444728</c:v>
                </c:pt>
                <c:pt idx="110">
                  <c:v>-4.5887175391257751</c:v>
                </c:pt>
                <c:pt idx="111">
                  <c:v>-4.5786796099477662</c:v>
                </c:pt>
                <c:pt idx="112">
                  <c:v>-4.5676016371497248</c:v>
                </c:pt>
                <c:pt idx="113">
                  <c:v>-4.5686962373050619</c:v>
                </c:pt>
                <c:pt idx="114">
                  <c:v>-4.5556679266192859</c:v>
                </c:pt>
                <c:pt idx="115">
                  <c:v>-4.5415895017950429</c:v>
                </c:pt>
                <c:pt idx="116">
                  <c:v>-4.5398567877832061</c:v>
                </c:pt>
                <c:pt idx="117">
                  <c:v>-4.5237966241681775</c:v>
                </c:pt>
                <c:pt idx="118">
                  <c:v>-4.5066755581823692</c:v>
                </c:pt>
                <c:pt idx="119">
                  <c:v>-4.4884837022827941</c:v>
                </c:pt>
                <c:pt idx="120">
                  <c:v>-4.4828871860431567</c:v>
                </c:pt>
                <c:pt idx="121">
                  <c:v>-4.4626618001613574</c:v>
                </c:pt>
                <c:pt idx="122">
                  <c:v>-4.4413402337145609</c:v>
                </c:pt>
                <c:pt idx="123">
                  <c:v>-4.4189253153726957</c:v>
                </c:pt>
                <c:pt idx="124">
                  <c:v>-4.3954011695339137</c:v>
                </c:pt>
                <c:pt idx="125">
                  <c:v>-4.3707682998068806</c:v>
                </c:pt>
                <c:pt idx="126">
                  <c:v>-4.3450007706596558</c:v>
                </c:pt>
                <c:pt idx="127">
                  <c:v>-4.3181026139328207</c:v>
                </c:pt>
                <c:pt idx="128">
                  <c:v>-4.2900490091528267</c:v>
                </c:pt>
                <c:pt idx="129">
                  <c:v>-4.2608419466234881</c:v>
                </c:pt>
                <c:pt idx="130">
                  <c:v>-4.2304541101677993</c:v>
                </c:pt>
                <c:pt idx="131">
                  <c:v>-4.1988722982076681</c:v>
                </c:pt>
                <c:pt idx="132">
                  <c:v>-4.1513516941410984</c:v>
                </c:pt>
                <c:pt idx="133">
                  <c:v>-4.1172756606699741</c:v>
                </c:pt>
                <c:pt idx="134">
                  <c:v>-4.0819548792737415</c:v>
                </c:pt>
                <c:pt idx="135">
                  <c:v>-4.0302721890282376</c:v>
                </c:pt>
                <c:pt idx="136">
                  <c:v>-3.9923651992293752</c:v>
                </c:pt>
                <c:pt idx="137">
                  <c:v>-3.9377473375159968</c:v>
                </c:pt>
                <c:pt idx="138">
                  <c:v>-3.8815353085565274</c:v>
                </c:pt>
                <c:pt idx="139">
                  <c:v>-3.8395685792606948</c:v>
                </c:pt>
                <c:pt idx="140">
                  <c:v>-3.7803286136414433</c:v>
                </c:pt>
                <c:pt idx="141">
                  <c:v>-3.7194301726815411</c:v>
                </c:pt>
                <c:pt idx="142">
                  <c:v>-3.6568526905628982</c:v>
                </c:pt>
                <c:pt idx="143">
                  <c:v>-3.592573356542732</c:v>
                </c:pt>
                <c:pt idx="144">
                  <c:v>-3.5095579530332497</c:v>
                </c:pt>
                <c:pt idx="145">
                  <c:v>-3.4415802170843888</c:v>
                </c:pt>
                <c:pt idx="146">
                  <c:v>-3.3541818568396136</c:v>
                </c:pt>
                <c:pt idx="147">
                  <c:v>-3.2823997270802936</c:v>
                </c:pt>
                <c:pt idx="148">
                  <c:v>-3.1904739531260855</c:v>
                </c:pt>
                <c:pt idx="149">
                  <c:v>-3.096011891205352</c:v>
                </c:pt>
                <c:pt idx="150">
                  <c:v>-2.9795700933586335</c:v>
                </c:pt>
                <c:pt idx="151">
                  <c:v>-2.879424325713793</c:v>
                </c:pt>
                <c:pt idx="152">
                  <c:v>-2.7560636253225148</c:v>
                </c:pt>
                <c:pt idx="153">
                  <c:v>-2.6287375949189498</c:v>
                </c:pt>
                <c:pt idx="154">
                  <c:v>-2.4973477883194213</c:v>
                </c:pt>
                <c:pt idx="155">
                  <c:v>-2.3388140776431614</c:v>
                </c:pt>
                <c:pt idx="156">
                  <c:v>-2.1741160401833932</c:v>
                </c:pt>
                <c:pt idx="157">
                  <c:v>-2.0029708514283255</c:v>
                </c:pt>
                <c:pt idx="158">
                  <c:v>-1.798642301302241</c:v>
                </c:pt>
                <c:pt idx="159">
                  <c:v>-1.5562777028928791</c:v>
                </c:pt>
                <c:pt idx="160">
                  <c:v>-1.3001324411110367</c:v>
                </c:pt>
                <c:pt idx="161">
                  <c:v>-0.99669464175711808</c:v>
                </c:pt>
                <c:pt idx="162">
                  <c:v>-0.63726919407141347</c:v>
                </c:pt>
                <c:pt idx="163">
                  <c:v>-0.21079018687678086</c:v>
                </c:pt>
                <c:pt idx="164">
                  <c:v>0.29679217198051083</c:v>
                </c:pt>
                <c:pt idx="165">
                  <c:v>0.90314747386905836</c:v>
                </c:pt>
                <c:pt idx="166">
                  <c:v>1.6303144006708497</c:v>
                </c:pt>
                <c:pt idx="167">
                  <c:v>2.633519749575262</c:v>
                </c:pt>
                <c:pt idx="168">
                  <c:v>3.8585528689471884</c:v>
                </c:pt>
                <c:pt idx="169">
                  <c:v>5.4468386891838154</c:v>
                </c:pt>
                <c:pt idx="170">
                  <c:v>7.6182214450897039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46-4FF3-B95E-0934BE53C301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formes!$H$1:$H$200</c:f>
              <c:numCache>
                <c:formatCode>General</c:formatCode>
                <c:ptCount val="200"/>
                <c:pt idx="2">
                  <c:v>0</c:v>
                </c:pt>
                <c:pt idx="3">
                  <c:v>0.52105263157894732</c:v>
                </c:pt>
                <c:pt idx="4">
                  <c:v>1.0421052631578946</c:v>
                </c:pt>
                <c:pt idx="5">
                  <c:v>1.5631578947368421</c:v>
                </c:pt>
                <c:pt idx="6">
                  <c:v>2.0842105263157893</c:v>
                </c:pt>
                <c:pt idx="7">
                  <c:v>2.6052631578947367</c:v>
                </c:pt>
                <c:pt idx="8">
                  <c:v>3.1263157894736842</c:v>
                </c:pt>
                <c:pt idx="9">
                  <c:v>3.6473684210526316</c:v>
                </c:pt>
                <c:pt idx="10">
                  <c:v>4.1684210526315786</c:v>
                </c:pt>
                <c:pt idx="11">
                  <c:v>4.689473684210526</c:v>
                </c:pt>
                <c:pt idx="12">
                  <c:v>5.2105263157894735</c:v>
                </c:pt>
                <c:pt idx="13">
                  <c:v>5.7315789473684209</c:v>
                </c:pt>
                <c:pt idx="14">
                  <c:v>6.2526315789473683</c:v>
                </c:pt>
                <c:pt idx="15">
                  <c:v>6.7736842105263158</c:v>
                </c:pt>
                <c:pt idx="16">
                  <c:v>7.2947368421052632</c:v>
                </c:pt>
                <c:pt idx="17">
                  <c:v>7.8157894736842106</c:v>
                </c:pt>
                <c:pt idx="18">
                  <c:v>8.3368421052631572</c:v>
                </c:pt>
                <c:pt idx="19">
                  <c:v>8.8578947368421055</c:v>
                </c:pt>
                <c:pt idx="20">
                  <c:v>9.378947368421052</c:v>
                </c:pt>
                <c:pt idx="21">
                  <c:v>9.9</c:v>
                </c:pt>
                <c:pt idx="22">
                  <c:v>10.421052631578947</c:v>
                </c:pt>
                <c:pt idx="23">
                  <c:v>10.942105263157895</c:v>
                </c:pt>
                <c:pt idx="24">
                  <c:v>11.463157894736842</c:v>
                </c:pt>
                <c:pt idx="25">
                  <c:v>11.98421052631579</c:v>
                </c:pt>
                <c:pt idx="26">
                  <c:v>12.505263157894737</c:v>
                </c:pt>
                <c:pt idx="27">
                  <c:v>13.026315789473685</c:v>
                </c:pt>
                <c:pt idx="28">
                  <c:v>13.547368421052632</c:v>
                </c:pt>
                <c:pt idx="29">
                  <c:v>14.06842105263158</c:v>
                </c:pt>
                <c:pt idx="30">
                  <c:v>14.589473684210526</c:v>
                </c:pt>
                <c:pt idx="31">
                  <c:v>15.110526315789473</c:v>
                </c:pt>
                <c:pt idx="32">
                  <c:v>15.631578947368421</c:v>
                </c:pt>
                <c:pt idx="33">
                  <c:v>16.152631578947368</c:v>
                </c:pt>
                <c:pt idx="34">
                  <c:v>16.673684210526314</c:v>
                </c:pt>
                <c:pt idx="35">
                  <c:v>17.194736842105264</c:v>
                </c:pt>
                <c:pt idx="36">
                  <c:v>17.715789473684211</c:v>
                </c:pt>
                <c:pt idx="37">
                  <c:v>18.236842105263158</c:v>
                </c:pt>
                <c:pt idx="38">
                  <c:v>18.757894736842104</c:v>
                </c:pt>
                <c:pt idx="39">
                  <c:v>19.278947368421054</c:v>
                </c:pt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  <c:pt idx="130">
                  <c:v>66.694736842105257</c:v>
                </c:pt>
                <c:pt idx="131">
                  <c:v>67.215789473684211</c:v>
                </c:pt>
                <c:pt idx="132">
                  <c:v>67.736842105263165</c:v>
                </c:pt>
                <c:pt idx="133">
                  <c:v>68.257894736842104</c:v>
                </c:pt>
                <c:pt idx="134">
                  <c:v>68.778947368421058</c:v>
                </c:pt>
                <c:pt idx="135">
                  <c:v>69.3</c:v>
                </c:pt>
                <c:pt idx="136">
                  <c:v>69.821052631578951</c:v>
                </c:pt>
                <c:pt idx="137">
                  <c:v>70.34210526315789</c:v>
                </c:pt>
                <c:pt idx="138">
                  <c:v>70.863157894736844</c:v>
                </c:pt>
                <c:pt idx="139">
                  <c:v>71.384210526315783</c:v>
                </c:pt>
                <c:pt idx="140">
                  <c:v>71.905263157894737</c:v>
                </c:pt>
                <c:pt idx="141">
                  <c:v>72.426315789473691</c:v>
                </c:pt>
                <c:pt idx="142">
                  <c:v>72.94736842105263</c:v>
                </c:pt>
                <c:pt idx="143">
                  <c:v>73.468421052631584</c:v>
                </c:pt>
                <c:pt idx="144">
                  <c:v>73.989473684210523</c:v>
                </c:pt>
                <c:pt idx="145">
                  <c:v>74.510526315789477</c:v>
                </c:pt>
                <c:pt idx="146">
                  <c:v>75.031578947368416</c:v>
                </c:pt>
                <c:pt idx="147">
                  <c:v>75.55263157894737</c:v>
                </c:pt>
                <c:pt idx="148">
                  <c:v>76.073684210526309</c:v>
                </c:pt>
                <c:pt idx="149">
                  <c:v>76.594736842105263</c:v>
                </c:pt>
                <c:pt idx="150">
                  <c:v>77.115789473684217</c:v>
                </c:pt>
                <c:pt idx="151">
                  <c:v>77.636842105263156</c:v>
                </c:pt>
                <c:pt idx="152">
                  <c:v>78.15789473684211</c:v>
                </c:pt>
                <c:pt idx="153">
                  <c:v>78.678947368421049</c:v>
                </c:pt>
                <c:pt idx="154">
                  <c:v>79.2</c:v>
                </c:pt>
                <c:pt idx="155">
                  <c:v>79.721052631578942</c:v>
                </c:pt>
                <c:pt idx="156">
                  <c:v>80.242105263157896</c:v>
                </c:pt>
                <c:pt idx="157">
                  <c:v>80.763157894736835</c:v>
                </c:pt>
              </c:numCache>
            </c:numRef>
          </c:xVal>
          <c:yVal>
            <c:numRef>
              <c:f>formes!$I$1:$I$200</c:f>
              <c:numCache>
                <c:formatCode>General</c:formatCode>
                <c:ptCount val="200"/>
                <c:pt idx="2">
                  <c:v>2.3083201154085127</c:v>
                </c:pt>
                <c:pt idx="3">
                  <c:v>2.1793498386675862</c:v>
                </c:pt>
                <c:pt idx="4">
                  <c:v>2.0404266497754531</c:v>
                </c:pt>
                <c:pt idx="5">
                  <c:v>1.9134919864166111</c:v>
                </c:pt>
                <c:pt idx="6">
                  <c:v>1.7876749518930923</c:v>
                </c:pt>
                <c:pt idx="7">
                  <c:v>1.6514653983965455</c:v>
                </c:pt>
                <c:pt idx="8">
                  <c:v>1.5277142158625048</c:v>
                </c:pt>
                <c:pt idx="9">
                  <c:v>1.4050997792905677</c:v>
                </c:pt>
                <c:pt idx="10">
                  <c:v>1.2717242658622214</c:v>
                </c:pt>
                <c:pt idx="11">
                  <c:v>1.151243975820506</c:v>
                </c:pt>
                <c:pt idx="12">
                  <c:v>1.0319342284149609</c:v>
                </c:pt>
                <c:pt idx="13">
                  <c:v>0.91380756902249116</c:v>
                </c:pt>
                <c:pt idx="14">
                  <c:v>0.78447353823878219</c:v>
                </c:pt>
                <c:pt idx="15">
                  <c:v>0.66860175727837579</c:v>
                </c:pt>
                <c:pt idx="16">
                  <c:v>0.55395667936147586</c:v>
                </c:pt>
                <c:pt idx="17">
                  <c:v>0.44055226413821436</c:v>
                </c:pt>
                <c:pt idx="18">
                  <c:v>0.32840244637127936</c:v>
                </c:pt>
                <c:pt idx="19">
                  <c:v>0.20456680061492399</c:v>
                </c:pt>
                <c:pt idx="20">
                  <c:v>9.4837111710940891E-2</c:v>
                </c:pt>
                <c:pt idx="21">
                  <c:v>-1.3593710760966313E-2</c:v>
                </c:pt>
                <c:pt idx="22">
                  <c:v>-0.12071299289371487</c:v>
                </c:pt>
                <c:pt idx="23">
                  <c:v>-0.22650839026947511</c:v>
                </c:pt>
                <c:pt idx="24">
                  <c:v>-0.33096828261816558</c:v>
                </c:pt>
                <c:pt idx="25">
                  <c:v>-0.43408184037761655</c:v>
                </c:pt>
                <c:pt idx="26">
                  <c:v>-0.53583864681631521</c:v>
                </c:pt>
                <c:pt idx="27">
                  <c:v>-0.64994187205525811</c:v>
                </c:pt>
                <c:pt idx="28">
                  <c:v>-0.74905774312526585</c:v>
                </c:pt>
                <c:pt idx="29">
                  <c:v>-0.84678745743066053</c:v>
                </c:pt>
                <c:pt idx="30">
                  <c:v>-0.94312384855193787</c:v>
                </c:pt>
                <c:pt idx="31">
                  <c:v>-1.0380610852989149</c:v>
                </c:pt>
                <c:pt idx="32">
                  <c:v>-1.1315938691517835</c:v>
                </c:pt>
                <c:pt idx="33">
                  <c:v>-1.2237176226150184</c:v>
                </c:pt>
                <c:pt idx="34">
                  <c:v>-1.3144296926621926</c:v>
                </c:pt>
                <c:pt idx="35">
                  <c:v>-1.4037268347511946</c:v>
                </c:pt>
                <c:pt idx="36">
                  <c:v>-1.4916075230677068</c:v>
                </c:pt>
                <c:pt idx="37">
                  <c:v>-1.5780710416056356</c:v>
                </c:pt>
                <c:pt idx="38">
                  <c:v>-1.6631179413340527</c:v>
                </c:pt>
                <c:pt idx="39">
                  <c:v>-1.7467482457363941</c:v>
                </c:pt>
                <c:pt idx="40">
                  <c:v>-1.8289647330209993</c:v>
                </c:pt>
                <c:pt idx="41">
                  <c:v>-1.9097691114439619</c:v>
                </c:pt>
                <c:pt idx="42">
                  <c:v>-1.9743030395670025</c:v>
                </c:pt>
                <c:pt idx="43">
                  <c:v>-2.0522441365984485</c:v>
                </c:pt>
                <c:pt idx="44">
                  <c:v>-2.1287884879067573</c:v>
                </c:pt>
                <c:pt idx="45">
                  <c:v>-2.2039421363154648</c:v>
                </c:pt>
                <c:pt idx="46">
                  <c:v>-2.2777111660934106</c:v>
                </c:pt>
                <c:pt idx="47">
                  <c:v>-2.3501015636489715</c:v>
                </c:pt>
                <c:pt idx="48">
                  <c:v>-2.4211208253477063</c:v>
                </c:pt>
                <c:pt idx="49">
                  <c:v>-2.4907776139538873</c:v>
                </c:pt>
                <c:pt idx="50">
                  <c:v>-2.5590791371423185</c:v>
                </c:pt>
                <c:pt idx="51">
                  <c:v>-2.6260346669059595</c:v>
                </c:pt>
                <c:pt idx="52">
                  <c:v>-2.676199929008654</c:v>
                </c:pt>
                <c:pt idx="53">
                  <c:v>-2.7404687880541392</c:v>
                </c:pt>
                <c:pt idx="54">
                  <c:v>-2.8034231319465523</c:v>
                </c:pt>
                <c:pt idx="55">
                  <c:v>-2.8650741349576885</c:v>
                </c:pt>
                <c:pt idx="56">
                  <c:v>-2.9254309182250018</c:v>
                </c:pt>
                <c:pt idx="57">
                  <c:v>-2.9845056807302077</c:v>
                </c:pt>
                <c:pt idx="58">
                  <c:v>-3.0265444943424571</c:v>
                </c:pt>
                <c:pt idx="59">
                  <c:v>-3.0830794949134712</c:v>
                </c:pt>
                <c:pt idx="60">
                  <c:v>-3.1383698056427658</c:v>
                </c:pt>
                <c:pt idx="61">
                  <c:v>-3.1924243531784615</c:v>
                </c:pt>
                <c:pt idx="62">
                  <c:v>-3.2452564806139987</c:v>
                </c:pt>
                <c:pt idx="63">
                  <c:v>-3.2808855160650956</c:v>
                </c:pt>
                <c:pt idx="64">
                  <c:v>-3.3313102410265287</c:v>
                </c:pt>
                <c:pt idx="65">
                  <c:v>-3.3805511955131666</c:v>
                </c:pt>
                <c:pt idx="66">
                  <c:v>-3.4286181897895229</c:v>
                </c:pt>
                <c:pt idx="67">
                  <c:v>-3.459349920318155</c:v>
                </c:pt>
                <c:pt idx="68">
                  <c:v>-3.5051171977116224</c:v>
                </c:pt>
                <c:pt idx="69">
                  <c:v>-3.549748557482352</c:v>
                </c:pt>
                <c:pt idx="70">
                  <c:v>-3.5932554654702278</c:v>
                </c:pt>
                <c:pt idx="71">
                  <c:v>-3.6193294143350112</c:v>
                </c:pt>
                <c:pt idx="72">
                  <c:v>-3.6606399342340215</c:v>
                </c:pt>
                <c:pt idx="73">
                  <c:v>-3.7008609851440268</c:v>
                </c:pt>
                <c:pt idx="74">
                  <c:v>-3.7235472904646469</c:v>
                </c:pt>
                <c:pt idx="75">
                  <c:v>-3.7616470232702683</c:v>
                </c:pt>
                <c:pt idx="76">
                  <c:v>-3.7986897467190741</c:v>
                </c:pt>
                <c:pt idx="77">
                  <c:v>-3.8181137001402883</c:v>
                </c:pt>
                <c:pt idx="78">
                  <c:v>-3.8531060860441748</c:v>
                </c:pt>
                <c:pt idx="79">
                  <c:v>-3.8703650097388467</c:v>
                </c:pt>
                <c:pt idx="80">
                  <c:v>-3.903349166595985</c:v>
                </c:pt>
                <c:pt idx="81">
                  <c:v>-3.9353271468491693</c:v>
                </c:pt>
                <c:pt idx="82">
                  <c:v>-3.9495164709355444</c:v>
                </c:pt>
                <c:pt idx="83">
                  <c:v>-3.9795469118980931</c:v>
                </c:pt>
                <c:pt idx="84">
                  <c:v>-3.9916936292442777</c:v>
                </c:pt>
                <c:pt idx="85">
                  <c:v>-4.019812797570598</c:v>
                </c:pt>
                <c:pt idx="86">
                  <c:v>-4.0299634835422173</c:v>
                </c:pt>
                <c:pt idx="87">
                  <c:v>-4.0562041690110355</c:v>
                </c:pt>
                <c:pt idx="88">
                  <c:v>-4.064399139696123</c:v>
                </c:pt>
                <c:pt idx="89">
                  <c:v>-4.0887911309277314</c:v>
                </c:pt>
                <c:pt idx="90">
                  <c:v>-4.0950655188052529</c:v>
                </c:pt>
                <c:pt idx="91">
                  <c:v>-4.1176374027729645</c:v>
                </c:pt>
                <c:pt idx="92">
                  <c:v>-4.1220233525505732</c:v>
                </c:pt>
                <c:pt idx="93">
                  <c:v>-4.1254146922382313</c:v>
                </c:pt>
                <c:pt idx="94">
                  <c:v>-4.1453201145890901</c:v>
                </c:pt>
                <c:pt idx="95">
                  <c:v>-4.146866365528167</c:v>
                </c:pt>
                <c:pt idx="96">
                  <c:v>-4.1650001395172476</c:v>
                </c:pt>
                <c:pt idx="97">
                  <c:v>-4.164723029089143</c:v>
                </c:pt>
                <c:pt idx="98">
                  <c:v>-4.1634824311731276</c:v>
                </c:pt>
                <c:pt idx="99">
                  <c:v>-4.1612886397340043</c:v>
                </c:pt>
                <c:pt idx="100">
                  <c:v>-4.1759701549391615</c:v>
                </c:pt>
                <c:pt idx="101">
                  <c:v>-4.1719836050337253</c:v>
                </c:pt>
                <c:pt idx="102">
                  <c:v>-4.167052150783201</c:v>
                </c:pt>
                <c:pt idx="103">
                  <c:v>-4.1611806706508059</c:v>
                </c:pt>
                <c:pt idx="104">
                  <c:v>-4.1543704639750061</c:v>
                </c:pt>
                <c:pt idx="105">
                  <c:v>-4.1647818337362867</c:v>
                </c:pt>
                <c:pt idx="106">
                  <c:v>-4.1561927144010635</c:v>
                </c:pt>
                <c:pt idx="107">
                  <c:v>-4.1466647728253472</c:v>
                </c:pt>
                <c:pt idx="108">
                  <c:v>-4.1362017825798496</c:v>
                </c:pt>
                <c:pt idx="109">
                  <c:v>-4.124796495649381</c:v>
                </c:pt>
                <c:pt idx="110">
                  <c:v>-4.1124494030452698</c:v>
                </c:pt>
                <c:pt idx="111">
                  <c:v>-4.0991582738139662</c:v>
                </c:pt>
                <c:pt idx="112">
                  <c:v>-4.0661360079327853</c:v>
                </c:pt>
                <c:pt idx="113">
                  <c:v>-4.0508593708520895</c:v>
                </c:pt>
                <c:pt idx="114">
                  <c:v>-4.0346280241574366</c:v>
                </c:pt>
                <c:pt idx="115">
                  <c:v>-4.0174343117908613</c:v>
                </c:pt>
                <c:pt idx="116">
                  <c:v>-3.9992701092505358</c:v>
                </c:pt>
                <c:pt idx="117">
                  <c:v>-3.9607716839406923</c:v>
                </c:pt>
                <c:pt idx="118">
                  <c:v>-3.9405660851946083</c:v>
                </c:pt>
                <c:pt idx="119">
                  <c:v>-3.8996819937483442</c:v>
                </c:pt>
                <c:pt idx="120">
                  <c:v>-3.8773955767476211</c:v>
                </c:pt>
                <c:pt idx="121">
                  <c:v>-3.8340889457118621</c:v>
                </c:pt>
                <c:pt idx="122">
                  <c:v>-3.7894229608000316</c:v>
                </c:pt>
                <c:pt idx="123">
                  <c:v>-3.76388864612144</c:v>
                </c:pt>
                <c:pt idx="124">
                  <c:v>-3.7167087226657616</c:v>
                </c:pt>
                <c:pt idx="125">
                  <c:v>-3.6681263478464099</c:v>
                </c:pt>
                <c:pt idx="126">
                  <c:v>-3.6181039272208304</c:v>
                </c:pt>
                <c:pt idx="127">
                  <c:v>-3.5666334006548164</c:v>
                </c:pt>
                <c:pt idx="128">
                  <c:v>-3.5136756396549029</c:v>
                </c:pt>
                <c:pt idx="129">
                  <c:v>-3.4371149125437972</c:v>
                </c:pt>
                <c:pt idx="130">
                  <c:v>-3.3808286761315589</c:v>
                </c:pt>
                <c:pt idx="131">
                  <c:v>-3.3229668909807861</c:v>
                </c:pt>
                <c:pt idx="132">
                  <c:v>-3.2403184601235204</c:v>
                </c:pt>
                <c:pt idx="133">
                  <c:v>-3.1552030502874908</c:v>
                </c:pt>
                <c:pt idx="134">
                  <c:v>-3.0675396594172391</c:v>
                </c:pt>
                <c:pt idx="135">
                  <c:v>-2.9772541009207298</c:v>
                </c:pt>
                <c:pt idx="136">
                  <c:v>-2.8842669043010054</c:v>
                </c:pt>
                <c:pt idx="137">
                  <c:v>-2.7622696872752588</c:v>
                </c:pt>
                <c:pt idx="138">
                  <c:v>-2.6629725832453635</c:v>
                </c:pt>
                <c:pt idx="139">
                  <c:v>-2.5329158862570949</c:v>
                </c:pt>
                <c:pt idx="140">
                  <c:v>-2.3981206494592975</c:v>
                </c:pt>
                <c:pt idx="141">
                  <c:v>-2.2283545180087438</c:v>
                </c:pt>
                <c:pt idx="142">
                  <c:v>-2.050970116938462</c:v>
                </c:pt>
                <c:pt idx="143">
                  <c:v>-1.865549044017583</c:v>
                </c:pt>
                <c:pt idx="144">
                  <c:v>-1.6716523930007674</c:v>
                </c:pt>
                <c:pt idx="145">
                  <c:v>-1.4324390904105266</c:v>
                </c:pt>
                <c:pt idx="146">
                  <c:v>-1.1799735553989879</c:v>
                </c:pt>
                <c:pt idx="147">
                  <c:v>-0.87220121525266725</c:v>
                </c:pt>
                <c:pt idx="148">
                  <c:v>-0.54419477734706789</c:v>
                </c:pt>
                <c:pt idx="149">
                  <c:v>-0.14683610252485629</c:v>
                </c:pt>
                <c:pt idx="150">
                  <c:v>0.28077017633883</c:v>
                </c:pt>
                <c:pt idx="151">
                  <c:v>0.79714732331394678</c:v>
                </c:pt>
                <c:pt idx="152">
                  <c:v>1.4199174449829353</c:v>
                </c:pt>
                <c:pt idx="153">
                  <c:v>2.102123212172426</c:v>
                </c:pt>
                <c:pt idx="154">
                  <c:v>2.9243225729823186</c:v>
                </c:pt>
                <c:pt idx="155">
                  <c:v>3.915815176878918</c:v>
                </c:pt>
                <c:pt idx="156">
                  <c:v>5.1125686288887922</c:v>
                </c:pt>
                <c:pt idx="157">
                  <c:v>6.45004968766444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46-4FF3-B95E-0934BE53C301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formes!$J$1:$J$200</c:f>
              <c:numCache>
                <c:formatCode>General</c:formatCode>
                <c:ptCount val="200"/>
                <c:pt idx="2">
                  <c:v>0</c:v>
                </c:pt>
                <c:pt idx="3">
                  <c:v>0.52105263157894732</c:v>
                </c:pt>
                <c:pt idx="4">
                  <c:v>1.0421052631578946</c:v>
                </c:pt>
                <c:pt idx="5">
                  <c:v>1.5631578947368421</c:v>
                </c:pt>
                <c:pt idx="6">
                  <c:v>2.0842105263157893</c:v>
                </c:pt>
                <c:pt idx="7">
                  <c:v>2.6052631578947367</c:v>
                </c:pt>
                <c:pt idx="8">
                  <c:v>3.1263157894736842</c:v>
                </c:pt>
                <c:pt idx="9">
                  <c:v>3.6473684210526316</c:v>
                </c:pt>
                <c:pt idx="10">
                  <c:v>4.1684210526315786</c:v>
                </c:pt>
                <c:pt idx="11">
                  <c:v>4.689473684210526</c:v>
                </c:pt>
                <c:pt idx="12">
                  <c:v>5.2105263157894735</c:v>
                </c:pt>
                <c:pt idx="13">
                  <c:v>5.7315789473684209</c:v>
                </c:pt>
                <c:pt idx="14">
                  <c:v>6.2526315789473683</c:v>
                </c:pt>
                <c:pt idx="15">
                  <c:v>6.7736842105263158</c:v>
                </c:pt>
                <c:pt idx="16">
                  <c:v>7.2947368421052632</c:v>
                </c:pt>
                <c:pt idx="17">
                  <c:v>7.8157894736842106</c:v>
                </c:pt>
                <c:pt idx="18">
                  <c:v>8.3368421052631572</c:v>
                </c:pt>
                <c:pt idx="19">
                  <c:v>8.8578947368421055</c:v>
                </c:pt>
                <c:pt idx="20">
                  <c:v>9.378947368421052</c:v>
                </c:pt>
                <c:pt idx="21">
                  <c:v>9.9</c:v>
                </c:pt>
                <c:pt idx="22">
                  <c:v>10.421052631578947</c:v>
                </c:pt>
                <c:pt idx="23">
                  <c:v>10.942105263157895</c:v>
                </c:pt>
                <c:pt idx="24">
                  <c:v>11.463157894736842</c:v>
                </c:pt>
                <c:pt idx="25">
                  <c:v>11.98421052631579</c:v>
                </c:pt>
                <c:pt idx="26">
                  <c:v>12.505263157894737</c:v>
                </c:pt>
                <c:pt idx="27">
                  <c:v>13.026315789473685</c:v>
                </c:pt>
                <c:pt idx="28">
                  <c:v>13.547368421052632</c:v>
                </c:pt>
                <c:pt idx="29">
                  <c:v>14.06842105263158</c:v>
                </c:pt>
                <c:pt idx="30">
                  <c:v>14.589473684210526</c:v>
                </c:pt>
                <c:pt idx="31">
                  <c:v>15.110526315789473</c:v>
                </c:pt>
                <c:pt idx="32">
                  <c:v>15.631578947368421</c:v>
                </c:pt>
                <c:pt idx="33">
                  <c:v>16.152631578947368</c:v>
                </c:pt>
                <c:pt idx="34">
                  <c:v>16.673684210526314</c:v>
                </c:pt>
                <c:pt idx="35">
                  <c:v>17.194736842105264</c:v>
                </c:pt>
                <c:pt idx="36">
                  <c:v>17.715789473684211</c:v>
                </c:pt>
                <c:pt idx="37">
                  <c:v>18.236842105263158</c:v>
                </c:pt>
                <c:pt idx="38">
                  <c:v>18.757894736842104</c:v>
                </c:pt>
                <c:pt idx="39">
                  <c:v>19.278947368421054</c:v>
                </c:pt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  <c:pt idx="130">
                  <c:v>66.694736842105257</c:v>
                </c:pt>
                <c:pt idx="131">
                  <c:v>67.215789473684211</c:v>
                </c:pt>
                <c:pt idx="132">
                  <c:v>67.736842105263165</c:v>
                </c:pt>
                <c:pt idx="133">
                  <c:v>68.257894736842104</c:v>
                </c:pt>
                <c:pt idx="134">
                  <c:v>68.778947368421058</c:v>
                </c:pt>
                <c:pt idx="135">
                  <c:v>69.3</c:v>
                </c:pt>
                <c:pt idx="136">
                  <c:v>69.821052631578951</c:v>
                </c:pt>
                <c:pt idx="137">
                  <c:v>70.34210526315789</c:v>
                </c:pt>
                <c:pt idx="138">
                  <c:v>70.863157894736844</c:v>
                </c:pt>
                <c:pt idx="139">
                  <c:v>71.384210526315783</c:v>
                </c:pt>
                <c:pt idx="140">
                  <c:v>71.905263157894737</c:v>
                </c:pt>
                <c:pt idx="141">
                  <c:v>72.426315789473691</c:v>
                </c:pt>
                <c:pt idx="142">
                  <c:v>72.94736842105263</c:v>
                </c:pt>
                <c:pt idx="143">
                  <c:v>73.468421052631584</c:v>
                </c:pt>
                <c:pt idx="144">
                  <c:v>73.989473684210523</c:v>
                </c:pt>
              </c:numCache>
            </c:numRef>
          </c:xVal>
          <c:yVal>
            <c:numRef>
              <c:f>formes!$K$1:$K$200</c:f>
              <c:numCache>
                <c:formatCode>General</c:formatCode>
                <c:ptCount val="200"/>
                <c:pt idx="2">
                  <c:v>2.6916137583027773</c:v>
                </c:pt>
                <c:pt idx="3">
                  <c:v>2.5570215988807399</c:v>
                </c:pt>
                <c:pt idx="4">
                  <c:v>2.4229516591394704</c:v>
                </c:pt>
                <c:pt idx="5">
                  <c:v>2.2894187183705887</c:v>
                </c:pt>
                <c:pt idx="6">
                  <c:v>2.1564409331839816</c:v>
                </c:pt>
                <c:pt idx="7">
                  <c:v>2.0240388452366638</c:v>
                </c:pt>
                <c:pt idx="8">
                  <c:v>1.8922352994536271</c:v>
                </c:pt>
                <c:pt idx="9">
                  <c:v>1.7610553744868613</c:v>
                </c:pt>
                <c:pt idx="10">
                  <c:v>1.6449019383035233</c:v>
                </c:pt>
                <c:pt idx="11">
                  <c:v>1.5152093689690678</c:v>
                </c:pt>
                <c:pt idx="12">
                  <c:v>1.3862160218345139</c:v>
                </c:pt>
                <c:pt idx="13">
                  <c:v>1.2728379522945716</c:v>
                </c:pt>
                <c:pt idx="14">
                  <c:v>1.1454705765955733</c:v>
                </c:pt>
                <c:pt idx="15">
                  <c:v>1.0340997507018528</c:v>
                </c:pt>
                <c:pt idx="16">
                  <c:v>0.90845319366253796</c:v>
                </c:pt>
                <c:pt idx="17">
                  <c:v>0.79916188273765165</c:v>
                </c:pt>
                <c:pt idx="18">
                  <c:v>0.69102757857092245</c:v>
                </c:pt>
                <c:pt idx="19">
                  <c:v>0.56819457740489432</c:v>
                </c:pt>
                <c:pt idx="20">
                  <c:v>0.46224438046785077</c:v>
                </c:pt>
                <c:pt idx="21">
                  <c:v>0.34136698803448245</c:v>
                </c:pt>
                <c:pt idx="22">
                  <c:v>0.23767156167671968</c:v>
                </c:pt>
                <c:pt idx="23">
                  <c:v>0.1352073110770485</c:v>
                </c:pt>
                <c:pt idx="24">
                  <c:v>3.3985978716285302E-2</c:v>
                </c:pt>
                <c:pt idx="25">
                  <c:v>-8.2645752294528724E-2</c:v>
                </c:pt>
                <c:pt idx="26">
                  <c:v>-0.18149263630947599</c:v>
                </c:pt>
                <c:pt idx="27">
                  <c:v>-0.27906104147849942</c:v>
                </c:pt>
                <c:pt idx="28">
                  <c:v>-0.37534215851081509</c:v>
                </c:pt>
                <c:pt idx="29">
                  <c:v>-0.47032775185869491</c:v>
                </c:pt>
                <c:pt idx="30">
                  <c:v>-0.56401031033696924</c:v>
                </c:pt>
                <c:pt idx="31">
                  <c:v>-0.65638347279458276</c:v>
                </c:pt>
                <c:pt idx="32">
                  <c:v>-0.76493123537204055</c:v>
                </c:pt>
                <c:pt idx="33">
                  <c:v>-0.85478400307251001</c:v>
                </c:pt>
                <c:pt idx="34">
                  <c:v>-0.9433093075584521</c:v>
                </c:pt>
                <c:pt idx="35">
                  <c:v>-1.0305034894745679</c:v>
                </c:pt>
                <c:pt idx="36">
                  <c:v>-1.1163643766154792</c:v>
                </c:pt>
                <c:pt idx="37">
                  <c:v>-1.2008906011077969</c:v>
                </c:pt>
                <c:pt idx="38">
                  <c:v>-1.2840819426117991</c:v>
                </c:pt>
                <c:pt idx="39">
                  <c:v>-1.3659379236288909</c:v>
                </c:pt>
                <c:pt idx="40">
                  <c:v>-1.4464603465539025</c:v>
                </c:pt>
                <c:pt idx="41">
                  <c:v>-1.5256503418973502</c:v>
                </c:pt>
                <c:pt idx="42">
                  <c:v>-1.6035114111385607</c:v>
                </c:pt>
                <c:pt idx="43">
                  <c:v>-1.6800456976585663</c:v>
                </c:pt>
                <c:pt idx="44">
                  <c:v>-1.7366391931348408</c:v>
                </c:pt>
                <c:pt idx="45">
                  <c:v>-1.8104632018106883</c:v>
                </c:pt>
                <c:pt idx="46">
                  <c:v>-1.8829784541358288</c:v>
                </c:pt>
                <c:pt idx="47">
                  <c:v>-1.9541901037918747</c:v>
                </c:pt>
                <c:pt idx="48">
                  <c:v>-2.0241047105371015</c:v>
                </c:pt>
                <c:pt idx="49">
                  <c:v>-2.0927298554794609</c:v>
                </c:pt>
                <c:pt idx="50">
                  <c:v>-2.1600720161408864</c:v>
                </c:pt>
                <c:pt idx="51">
                  <c:v>-2.2069801676276706</c:v>
                </c:pt>
                <c:pt idx="52">
                  <c:v>-2.271733359634879</c:v>
                </c:pt>
                <c:pt idx="53">
                  <c:v>-2.3352319524475726</c:v>
                </c:pt>
                <c:pt idx="54">
                  <c:v>-2.3974847298253867</c:v>
                </c:pt>
                <c:pt idx="55">
                  <c:v>-2.4390479756384167</c:v>
                </c:pt>
                <c:pt idx="56">
                  <c:v>-2.4988016213563204</c:v>
                </c:pt>
                <c:pt idx="57">
                  <c:v>-2.5573418624198041</c:v>
                </c:pt>
                <c:pt idx="58">
                  <c:v>-2.6146787248673169</c:v>
                </c:pt>
                <c:pt idx="59">
                  <c:v>-2.6511167450354307</c:v>
                </c:pt>
                <c:pt idx="60">
                  <c:v>-2.7060523356836628</c:v>
                </c:pt>
                <c:pt idx="61">
                  <c:v>-2.7598175041113753</c:v>
                </c:pt>
                <c:pt idx="62">
                  <c:v>-2.7925270401266493</c:v>
                </c:pt>
                <c:pt idx="63">
                  <c:v>-2.8439677074255592</c:v>
                </c:pt>
                <c:pt idx="64">
                  <c:v>-2.894272906409312</c:v>
                </c:pt>
                <c:pt idx="65">
                  <c:v>-2.9233876058721906</c:v>
                </c:pt>
                <c:pt idx="66">
                  <c:v>-2.9714457131199215</c:v>
                </c:pt>
                <c:pt idx="67">
                  <c:v>-2.9981920413231533</c:v>
                </c:pt>
                <c:pt idx="68">
                  <c:v>-3.0440542138810422</c:v>
                </c:pt>
                <c:pt idx="69">
                  <c:v>-3.0888403089495924</c:v>
                </c:pt>
                <c:pt idx="70">
                  <c:v>-3.1122112049101225</c:v>
                </c:pt>
                <c:pt idx="71">
                  <c:v>-3.154875925038092</c:v>
                </c:pt>
                <c:pt idx="72">
                  <c:v>-3.1760239236603582</c:v>
                </c:pt>
                <c:pt idx="73">
                  <c:v>-3.2166161134923517</c:v>
                </c:pt>
                <c:pt idx="74">
                  <c:v>-3.2355973844463177</c:v>
                </c:pt>
                <c:pt idx="75">
                  <c:v>-3.2534565206605226</c:v>
                </c:pt>
                <c:pt idx="76">
                  <c:v>-3.2910312927065517</c:v>
                </c:pt>
                <c:pt idx="77">
                  <c:v>-3.3068034985554955</c:v>
                </c:pt>
                <c:pt idx="78">
                  <c:v>-3.3424221983367861</c:v>
                </c:pt>
                <c:pt idx="79">
                  <c:v>-3.3561555435361781</c:v>
                </c:pt>
                <c:pt idx="80">
                  <c:v>-3.3688330281728112</c:v>
                </c:pt>
                <c:pt idx="81">
                  <c:v>-3.4015994344164318</c:v>
                </c:pt>
                <c:pt idx="82">
                  <c:v>-3.4123071124370092</c:v>
                </c:pt>
                <c:pt idx="83">
                  <c:v>-3.4219921956896235</c:v>
                </c:pt>
                <c:pt idx="84">
                  <c:v>-3.4306632503717736</c:v>
                </c:pt>
                <c:pt idx="85">
                  <c:v>-3.4597686985975438</c:v>
                </c:pt>
                <c:pt idx="86">
                  <c:v>-3.4665496981467925</c:v>
                </c:pt>
                <c:pt idx="87">
                  <c:v>-3.4723462288667069</c:v>
                </c:pt>
                <c:pt idx="88">
                  <c:v>-3.4771664954006578</c:v>
                </c:pt>
                <c:pt idx="89">
                  <c:v>-3.4810171458513963</c:v>
                </c:pt>
                <c:pt idx="90">
                  <c:v>-3.4839064751988249</c:v>
                </c:pt>
                <c:pt idx="91">
                  <c:v>-3.485840473766384</c:v>
                </c:pt>
                <c:pt idx="92">
                  <c:v>-3.4868240063519353</c:v>
                </c:pt>
                <c:pt idx="93">
                  <c:v>-3.4868628346563391</c:v>
                </c:pt>
                <c:pt idx="94">
                  <c:v>-3.4859605110286838</c:v>
                </c:pt>
                <c:pt idx="95">
                  <c:v>-3.4841221515164831</c:v>
                </c:pt>
                <c:pt idx="96">
                  <c:v>-3.481349804859021</c:v>
                </c:pt>
                <c:pt idx="97">
                  <c:v>-3.4776466664326602</c:v>
                </c:pt>
                <c:pt idx="98">
                  <c:v>-3.4502094948111446</c:v>
                </c:pt>
                <c:pt idx="99">
                  <c:v>-3.4445387147069697</c:v>
                </c:pt>
                <c:pt idx="100">
                  <c:v>-3.4379365783387001</c:v>
                </c:pt>
                <c:pt idx="101">
                  <c:v>-3.4071241240397141</c:v>
                </c:pt>
                <c:pt idx="102">
                  <c:v>-3.3985465594242052</c:v>
                </c:pt>
                <c:pt idx="103">
                  <c:v>-3.3653698966629446</c:v>
                </c:pt>
                <c:pt idx="104">
                  <c:v>-3.3548004730920304</c:v>
                </c:pt>
                <c:pt idx="105">
                  <c:v>-3.3192209502604282</c:v>
                </c:pt>
                <c:pt idx="106">
                  <c:v>-3.3066362931756874</c:v>
                </c:pt>
                <c:pt idx="107">
                  <c:v>-3.2686100004757277</c:v>
                </c:pt>
                <c:pt idx="108">
                  <c:v>-3.2291901408392114</c:v>
                </c:pt>
                <c:pt idx="109">
                  <c:v>-3.1883500042567077</c:v>
                </c:pt>
                <c:pt idx="110">
                  <c:v>-3.1460648029457809</c:v>
                </c:pt>
                <c:pt idx="111">
                  <c:v>-3.1023087405382381</c:v>
                </c:pt>
                <c:pt idx="112">
                  <c:v>-3.0570530306178831</c:v>
                </c:pt>
                <c:pt idx="113">
                  <c:v>-3.0102682721709129</c:v>
                </c:pt>
                <c:pt idx="114">
                  <c:v>-2.9619217906183888</c:v>
                </c:pt>
                <c:pt idx="115">
                  <c:v>-2.8845556282740308</c:v>
                </c:pt>
                <c:pt idx="116">
                  <c:v>-2.8325862201816872</c:v>
                </c:pt>
                <c:pt idx="117">
                  <c:v>-2.7504650880435753</c:v>
                </c:pt>
                <c:pt idx="118">
                  <c:v>-2.6655242920269413</c:v>
                </c:pt>
                <c:pt idx="119">
                  <c:v>-2.577647528710735</c:v>
                </c:pt>
                <c:pt idx="120">
                  <c:v>-2.4867296123457541</c:v>
                </c:pt>
                <c:pt idx="121">
                  <c:v>-2.3926524023997642</c:v>
                </c:pt>
                <c:pt idx="122">
                  <c:v>-2.2953030242476808</c:v>
                </c:pt>
                <c:pt idx="123">
                  <c:v>-2.1612341493756033</c:v>
                </c:pt>
                <c:pt idx="124">
                  <c:v>-2.0560697233307392</c:v>
                </c:pt>
                <c:pt idx="125">
                  <c:v>-1.9117429214750863</c:v>
                </c:pt>
                <c:pt idx="126">
                  <c:v>-1.7612729012850685</c:v>
                </c:pt>
                <c:pt idx="127">
                  <c:v>-1.5657737452147868</c:v>
                </c:pt>
                <c:pt idx="128">
                  <c:v>-1.4006320211813219</c:v>
                </c:pt>
                <c:pt idx="129">
                  <c:v>-1.1862687644400434</c:v>
                </c:pt>
                <c:pt idx="130">
                  <c:v>-0.96066924653056085</c:v>
                </c:pt>
                <c:pt idx="131">
                  <c:v>-0.72320812851177296</c:v>
                </c:pt>
                <c:pt idx="132">
                  <c:v>-0.42389593660961827</c:v>
                </c:pt>
                <c:pt idx="133">
                  <c:v>-0.10583005785734101</c:v>
                </c:pt>
                <c:pt idx="134">
                  <c:v>0.23213804917314285</c:v>
                </c:pt>
                <c:pt idx="135">
                  <c:v>0.65099293017203097</c:v>
                </c:pt>
                <c:pt idx="136">
                  <c:v>1.0359788527052869</c:v>
                </c:pt>
                <c:pt idx="137">
                  <c:v>1.5816987151897466</c:v>
                </c:pt>
                <c:pt idx="138">
                  <c:v>2.0974096058684606</c:v>
                </c:pt>
                <c:pt idx="139">
                  <c:v>2.7293157344560983</c:v>
                </c:pt>
                <c:pt idx="140">
                  <c:v>3.4114979403477057</c:v>
                </c:pt>
                <c:pt idx="141">
                  <c:v>4.1469722408815191</c:v>
                </c:pt>
                <c:pt idx="142">
                  <c:v>5.0406332530770221</c:v>
                </c:pt>
                <c:pt idx="143">
                  <c:v>6.0103349174908267</c:v>
                </c:pt>
                <c:pt idx="144">
                  <c:v>7.181977539972717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46-4FF3-B95E-0934BE53C301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formes!$L$1:$L$200</c:f>
              <c:numCache>
                <c:formatCode>General</c:formatCode>
                <c:ptCount val="200"/>
                <c:pt idx="2">
                  <c:v>0</c:v>
                </c:pt>
                <c:pt idx="3">
                  <c:v>0.52105263157894732</c:v>
                </c:pt>
                <c:pt idx="4">
                  <c:v>1.0421052631578946</c:v>
                </c:pt>
                <c:pt idx="5">
                  <c:v>1.5631578947368421</c:v>
                </c:pt>
                <c:pt idx="6">
                  <c:v>2.0842105263157893</c:v>
                </c:pt>
                <c:pt idx="7">
                  <c:v>2.6052631578947367</c:v>
                </c:pt>
                <c:pt idx="8">
                  <c:v>3.1263157894736842</c:v>
                </c:pt>
                <c:pt idx="9">
                  <c:v>3.6473684210526316</c:v>
                </c:pt>
                <c:pt idx="10">
                  <c:v>4.1684210526315786</c:v>
                </c:pt>
                <c:pt idx="11">
                  <c:v>4.689473684210526</c:v>
                </c:pt>
                <c:pt idx="12">
                  <c:v>5.2105263157894735</c:v>
                </c:pt>
                <c:pt idx="13">
                  <c:v>5.7315789473684209</c:v>
                </c:pt>
                <c:pt idx="14">
                  <c:v>6.2526315789473683</c:v>
                </c:pt>
                <c:pt idx="15">
                  <c:v>6.7736842105263158</c:v>
                </c:pt>
                <c:pt idx="16">
                  <c:v>7.2947368421052632</c:v>
                </c:pt>
                <c:pt idx="17">
                  <c:v>7.8157894736842106</c:v>
                </c:pt>
                <c:pt idx="18">
                  <c:v>8.3368421052631572</c:v>
                </c:pt>
                <c:pt idx="19">
                  <c:v>8.8578947368421055</c:v>
                </c:pt>
                <c:pt idx="20">
                  <c:v>9.378947368421052</c:v>
                </c:pt>
                <c:pt idx="21">
                  <c:v>9.9</c:v>
                </c:pt>
                <c:pt idx="22">
                  <c:v>10.421052631578947</c:v>
                </c:pt>
                <c:pt idx="23">
                  <c:v>10.942105263157895</c:v>
                </c:pt>
                <c:pt idx="24">
                  <c:v>11.463157894736842</c:v>
                </c:pt>
                <c:pt idx="25">
                  <c:v>11.98421052631579</c:v>
                </c:pt>
                <c:pt idx="26">
                  <c:v>12.505263157894737</c:v>
                </c:pt>
                <c:pt idx="27">
                  <c:v>13.026315789473685</c:v>
                </c:pt>
                <c:pt idx="28">
                  <c:v>13.547368421052632</c:v>
                </c:pt>
                <c:pt idx="29">
                  <c:v>14.06842105263158</c:v>
                </c:pt>
                <c:pt idx="30">
                  <c:v>14.589473684210526</c:v>
                </c:pt>
                <c:pt idx="31">
                  <c:v>15.110526315789473</c:v>
                </c:pt>
                <c:pt idx="32">
                  <c:v>15.631578947368421</c:v>
                </c:pt>
                <c:pt idx="33">
                  <c:v>16.152631578947368</c:v>
                </c:pt>
                <c:pt idx="34">
                  <c:v>16.673684210526314</c:v>
                </c:pt>
                <c:pt idx="35">
                  <c:v>17.194736842105264</c:v>
                </c:pt>
                <c:pt idx="36">
                  <c:v>17.715789473684211</c:v>
                </c:pt>
                <c:pt idx="37">
                  <c:v>18.236842105263158</c:v>
                </c:pt>
                <c:pt idx="38">
                  <c:v>18.757894736842104</c:v>
                </c:pt>
                <c:pt idx="39">
                  <c:v>19.278947368421054</c:v>
                </c:pt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  <c:pt idx="109">
                  <c:v>55.752631578947366</c:v>
                </c:pt>
                <c:pt idx="110">
                  <c:v>56.273684210526319</c:v>
                </c:pt>
                <c:pt idx="111">
                  <c:v>56.794736842105266</c:v>
                </c:pt>
                <c:pt idx="112">
                  <c:v>57.315789473684212</c:v>
                </c:pt>
                <c:pt idx="113">
                  <c:v>57.836842105263159</c:v>
                </c:pt>
                <c:pt idx="114">
                  <c:v>58.357894736842105</c:v>
                </c:pt>
                <c:pt idx="115">
                  <c:v>58.878947368421052</c:v>
                </c:pt>
                <c:pt idx="116">
                  <c:v>59.4</c:v>
                </c:pt>
                <c:pt idx="117">
                  <c:v>59.921052631578945</c:v>
                </c:pt>
                <c:pt idx="118">
                  <c:v>60.442105263157892</c:v>
                </c:pt>
                <c:pt idx="119">
                  <c:v>60.963157894736845</c:v>
                </c:pt>
                <c:pt idx="120">
                  <c:v>61.484210526315792</c:v>
                </c:pt>
                <c:pt idx="121">
                  <c:v>62.005263157894738</c:v>
                </c:pt>
                <c:pt idx="122">
                  <c:v>62.526315789473685</c:v>
                </c:pt>
                <c:pt idx="123">
                  <c:v>63.047368421052632</c:v>
                </c:pt>
                <c:pt idx="124">
                  <c:v>63.568421052631578</c:v>
                </c:pt>
                <c:pt idx="125">
                  <c:v>64.089473684210532</c:v>
                </c:pt>
                <c:pt idx="126">
                  <c:v>64.610526315789471</c:v>
                </c:pt>
                <c:pt idx="127">
                  <c:v>65.131578947368425</c:v>
                </c:pt>
                <c:pt idx="128">
                  <c:v>65.652631578947364</c:v>
                </c:pt>
                <c:pt idx="129">
                  <c:v>66.173684210526318</c:v>
                </c:pt>
              </c:numCache>
            </c:numRef>
          </c:xVal>
          <c:yVal>
            <c:numRef>
              <c:f>formes!$M$1:$M$200</c:f>
              <c:numCache>
                <c:formatCode>General</c:formatCode>
                <c:ptCount val="200"/>
                <c:pt idx="2">
                  <c:v>4.1043319634497433</c:v>
                </c:pt>
                <c:pt idx="3">
                  <c:v>3.8118448585846645</c:v>
                </c:pt>
                <c:pt idx="4">
                  <c:v>3.5737201835700136</c:v>
                </c:pt>
                <c:pt idx="5">
                  <c:v>3.3523941507446011</c:v>
                </c:pt>
                <c:pt idx="6">
                  <c:v>3.1612869737168086</c:v>
                </c:pt>
                <c:pt idx="7">
                  <c:v>2.9844429314922492</c:v>
                </c:pt>
                <c:pt idx="8">
                  <c:v>2.8219213032837063</c:v>
                </c:pt>
                <c:pt idx="9">
                  <c:v>2.6584924287234806</c:v>
                </c:pt>
                <c:pt idx="10">
                  <c:v>2.509903367352357</c:v>
                </c:pt>
                <c:pt idx="11">
                  <c:v>2.360772143618858</c:v>
                </c:pt>
                <c:pt idx="12">
                  <c:v>2.211135020180131</c:v>
                </c:pt>
                <c:pt idx="13">
                  <c:v>2.0773627379776833</c:v>
                </c:pt>
                <c:pt idx="14">
                  <c:v>1.9435623134056108</c:v>
                </c:pt>
                <c:pt idx="15">
                  <c:v>1.8097730688908067</c:v>
                </c:pt>
                <c:pt idx="16">
                  <c:v>1.6760364344654737</c:v>
                </c:pt>
                <c:pt idx="17">
                  <c:v>1.5595409024684672</c:v>
                </c:pt>
                <c:pt idx="18">
                  <c:v>1.4262222006352587</c:v>
                </c:pt>
                <c:pt idx="19">
                  <c:v>1.3106141233084618</c:v>
                </c:pt>
                <c:pt idx="20">
                  <c:v>1.1955974844554071</c:v>
                </c:pt>
                <c:pt idx="21">
                  <c:v>1.081199249556807</c:v>
                </c:pt>
                <c:pt idx="22">
                  <c:v>0.96744606243292819</c:v>
                </c:pt>
                <c:pt idx="23">
                  <c:v>0.85436485873168577</c:v>
                </c:pt>
                <c:pt idx="24">
                  <c:v>0.74198185287700946</c:v>
                </c:pt>
                <c:pt idx="25">
                  <c:v>0.63032285062798343</c:v>
                </c:pt>
                <c:pt idx="26">
                  <c:v>0.53823256738881275</c:v>
                </c:pt>
                <c:pt idx="27">
                  <c:v>0.42825346910925655</c:v>
                </c:pt>
                <c:pt idx="28">
                  <c:v>0.3190670646822924</c:v>
                </c:pt>
                <c:pt idx="29">
                  <c:v>0.23000033141673526</c:v>
                </c:pt>
                <c:pt idx="30">
                  <c:v>0.12260748433503933</c:v>
                </c:pt>
                <c:pt idx="31">
                  <c:v>3.5681404180252056E-2</c:v>
                </c:pt>
                <c:pt idx="32">
                  <c:v>-5.0074862191468228E-2</c:v>
                </c:pt>
                <c:pt idx="33">
                  <c:v>-0.15459722504711404</c:v>
                </c:pt>
                <c:pt idx="34">
                  <c:v>-0.23815806341545695</c:v>
                </c:pt>
                <c:pt idx="35">
                  <c:v>-0.32053147366258872</c:v>
                </c:pt>
                <c:pt idx="36">
                  <c:v>-0.42207560583595649</c:v>
                </c:pt>
                <c:pt idx="37">
                  <c:v>-0.50221266273055287</c:v>
                </c:pt>
                <c:pt idx="38">
                  <c:v>-0.58115206998527003</c:v>
                </c:pt>
                <c:pt idx="39">
                  <c:v>-0.65889269866893974</c:v>
                </c:pt>
                <c:pt idx="40">
                  <c:v>-0.73543504746783528</c:v>
                </c:pt>
                <c:pt idx="41">
                  <c:v>-0.8107794291099224</c:v>
                </c:pt>
                <c:pt idx="42">
                  <c:v>-0.88492787304204468</c:v>
                </c:pt>
                <c:pt idx="43">
                  <c:v>-0.95788177360339488</c:v>
                </c:pt>
                <c:pt idx="44">
                  <c:v>-1.0296440204079038</c:v>
                </c:pt>
                <c:pt idx="45">
                  <c:v>-1.1002182760688453</c:v>
                </c:pt>
                <c:pt idx="46">
                  <c:v>-1.1696084961958295</c:v>
                </c:pt>
                <c:pt idx="47">
                  <c:v>-1.2378187557532154</c:v>
                </c:pt>
                <c:pt idx="48">
                  <c:v>-1.3048542195202733</c:v>
                </c:pt>
                <c:pt idx="49">
                  <c:v>-1.3487352378232353</c:v>
                </c:pt>
                <c:pt idx="50">
                  <c:v>-1.4133381593994963</c:v>
                </c:pt>
                <c:pt idx="51">
                  <c:v>-1.4767876025241993</c:v>
                </c:pt>
                <c:pt idx="52">
                  <c:v>-1.5390904972031632</c:v>
                </c:pt>
                <c:pt idx="53">
                  <c:v>-1.5778140690635349</c:v>
                </c:pt>
                <c:pt idx="54">
                  <c:v>-1.637756808106126</c:v>
                </c:pt>
                <c:pt idx="55">
                  <c:v>-1.6965790886946255</c:v>
                </c:pt>
                <c:pt idx="56">
                  <c:v>-1.7315140318921189</c:v>
                </c:pt>
                <c:pt idx="57">
                  <c:v>-1.788038160684214</c:v>
                </c:pt>
                <c:pt idx="58">
                  <c:v>-1.84346982359581</c:v>
                </c:pt>
                <c:pt idx="59">
                  <c:v>-1.8747266108555323</c:v>
                </c:pt>
                <c:pt idx="60">
                  <c:v>-1.9279258618144084</c:v>
                </c:pt>
                <c:pt idx="61">
                  <c:v>-1.9567410731590216</c:v>
                </c:pt>
                <c:pt idx="62">
                  <c:v>-2.0077537742899514</c:v>
                </c:pt>
                <c:pt idx="63">
                  <c:v>-2.034178513925863</c:v>
                </c:pt>
                <c:pt idx="64">
                  <c:v>-2.0593476922499869</c:v>
                </c:pt>
                <c:pt idx="65">
                  <c:v>-2.1071363257808864</c:v>
                </c:pt>
                <c:pt idx="66">
                  <c:v>-2.1299912848150488</c:v>
                </c:pt>
                <c:pt idx="67">
                  <c:v>-2.1516274099474462</c:v>
                </c:pt>
                <c:pt idx="68">
                  <c:v>-2.1963002770079925</c:v>
                </c:pt>
                <c:pt idx="69">
                  <c:v>-2.2156947046830213</c:v>
                </c:pt>
                <c:pt idx="70">
                  <c:v>-2.2339052766399683</c:v>
                </c:pt>
                <c:pt idx="71">
                  <c:v>-2.2509418988456393</c:v>
                </c:pt>
                <c:pt idx="72">
                  <c:v>-2.2668142986578279</c:v>
                </c:pt>
                <c:pt idx="73">
                  <c:v>-2.2815323894914314</c:v>
                </c:pt>
                <c:pt idx="74">
                  <c:v>-2.3202349819515855</c:v>
                </c:pt>
                <c:pt idx="75">
                  <c:v>-2.3328436198047515</c:v>
                </c:pt>
                <c:pt idx="76">
                  <c:v>-2.3443257647354545</c:v>
                </c:pt>
                <c:pt idx="77">
                  <c:v>-2.3290342963885586</c:v>
                </c:pt>
                <c:pt idx="78">
                  <c:v>-2.338107784870775</c:v>
                </c:pt>
                <c:pt idx="79">
                  <c:v>-2.3460736030885148</c:v>
                </c:pt>
                <c:pt idx="80">
                  <c:v>-2.352940063765824</c:v>
                </c:pt>
                <c:pt idx="81">
                  <c:v>-2.3587119035879272</c:v>
                </c:pt>
                <c:pt idx="82">
                  <c:v>-2.3633949520127531</c:v>
                </c:pt>
                <c:pt idx="83">
                  <c:v>-2.3400517259434723</c:v>
                </c:pt>
                <c:pt idx="84">
                  <c:v>-2.3423657276515586</c:v>
                </c:pt>
                <c:pt idx="85">
                  <c:v>-2.3160809088924306</c:v>
                </c:pt>
                <c:pt idx="86">
                  <c:v>-2.3160233204582941</c:v>
                </c:pt>
                <c:pt idx="87">
                  <c:v>-2.2867538186523158</c:v>
                </c:pt>
                <c:pt idx="88">
                  <c:v>-2.2843152073889597</c:v>
                </c:pt>
                <c:pt idx="89">
                  <c:v>-2.2520121003225126</c:v>
                </c:pt>
                <c:pt idx="90">
                  <c:v>-2.217950700827223</c:v>
                </c:pt>
                <c:pt idx="91">
                  <c:v>-2.2117843316359735</c:v>
                </c:pt>
                <c:pt idx="92">
                  <c:v>-2.1745869417439456</c:v>
                </c:pt>
                <c:pt idx="93">
                  <c:v>-2.1355529622357299</c:v>
                </c:pt>
                <c:pt idx="94">
                  <c:v>-2.0946475754784708</c:v>
                </c:pt>
                <c:pt idx="95">
                  <c:v>-2.0518355474689791</c:v>
                </c:pt>
                <c:pt idx="96">
                  <c:v>-1.9748215164533351</c:v>
                </c:pt>
                <c:pt idx="97">
                  <c:v>-1.9275083216044262</c:v>
                </c:pt>
                <c:pt idx="98">
                  <c:v>-1.8781526158087374</c:v>
                </c:pt>
                <c:pt idx="99">
                  <c:v>-1.7923850974614073</c:v>
                </c:pt>
                <c:pt idx="100">
                  <c:v>-1.7381726865562741</c:v>
                </c:pt>
                <c:pt idx="101">
                  <c:v>-1.6458100420196853</c:v>
                </c:pt>
                <c:pt idx="102">
                  <c:v>-1.5494793079700164</c:v>
                </c:pt>
                <c:pt idx="103">
                  <c:v>-1.487103639495361</c:v>
                </c:pt>
                <c:pt idx="104">
                  <c:v>-1.3835094103152392</c:v>
                </c:pt>
                <c:pt idx="105">
                  <c:v>-1.2351313609446168</c:v>
                </c:pt>
                <c:pt idx="106">
                  <c:v>-1.1213725293727839</c:v>
                </c:pt>
                <c:pt idx="107">
                  <c:v>-1.0028581242526695</c:v>
                </c:pt>
                <c:pt idx="108">
                  <c:v>-0.83468905622309353</c:v>
                </c:pt>
                <c:pt idx="109">
                  <c:v>-0.70474133000916084</c:v>
                </c:pt>
                <c:pt idx="110">
                  <c:v>-0.52134943925015786</c:v>
                </c:pt>
                <c:pt idx="111">
                  <c:v>-0.3288435701070116</c:v>
                </c:pt>
                <c:pt idx="112">
                  <c:v>-0.12681100234564591</c:v>
                </c:pt>
                <c:pt idx="113">
                  <c:v>8.5161350748063969E-2</c:v>
                </c:pt>
                <c:pt idx="114">
                  <c:v>0.30749187775802733</c:v>
                </c:pt>
                <c:pt idx="115">
                  <c:v>0.60082434309265864</c:v>
                </c:pt>
                <c:pt idx="116">
                  <c:v>0.84777473723095798</c:v>
                </c:pt>
                <c:pt idx="117">
                  <c:v>1.1727992852649729</c:v>
                </c:pt>
                <c:pt idx="118">
                  <c:v>1.5165193306393605</c:v>
                </c:pt>
                <c:pt idx="119">
                  <c:v>1.879800036486915</c:v>
                </c:pt>
                <c:pt idx="120">
                  <c:v>2.2634941812616769</c:v>
                </c:pt>
                <c:pt idx="121">
                  <c:v>2.6684622322056226</c:v>
                </c:pt>
                <c:pt idx="122">
                  <c:v>3.1829264296636488</c:v>
                </c:pt>
                <c:pt idx="123">
                  <c:v>3.6376010880349816</c:v>
                </c:pt>
                <c:pt idx="124">
                  <c:v>4.2141071619294248</c:v>
                </c:pt>
                <c:pt idx="125">
                  <c:v>4.826582440363687</c:v>
                </c:pt>
                <c:pt idx="126">
                  <c:v>5.4765451217541461</c:v>
                </c:pt>
                <c:pt idx="127">
                  <c:v>6.1654823780143282</c:v>
                </c:pt>
                <c:pt idx="128">
                  <c:v>6.8948615622466178</c:v>
                </c:pt>
                <c:pt idx="129">
                  <c:v>7.798763425414144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346-4FF3-B95E-0934BE53C301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formes!$N$1:$N$200</c:f>
              <c:numCache>
                <c:formatCode>General</c:formatCode>
                <c:ptCount val="200"/>
                <c:pt idx="13">
                  <c:v>5.7315789473684209</c:v>
                </c:pt>
                <c:pt idx="14">
                  <c:v>6.2526315789473683</c:v>
                </c:pt>
                <c:pt idx="15">
                  <c:v>6.7736842105263158</c:v>
                </c:pt>
                <c:pt idx="16">
                  <c:v>7.2947368421052632</c:v>
                </c:pt>
                <c:pt idx="17">
                  <c:v>7.8157894736842106</c:v>
                </c:pt>
                <c:pt idx="18">
                  <c:v>8.3368421052631572</c:v>
                </c:pt>
                <c:pt idx="19">
                  <c:v>8.8578947368421055</c:v>
                </c:pt>
                <c:pt idx="20">
                  <c:v>9.378947368421052</c:v>
                </c:pt>
                <c:pt idx="21">
                  <c:v>9.9</c:v>
                </c:pt>
                <c:pt idx="22">
                  <c:v>10.421052631578947</c:v>
                </c:pt>
                <c:pt idx="23">
                  <c:v>10.942105263157895</c:v>
                </c:pt>
                <c:pt idx="24">
                  <c:v>11.463157894736842</c:v>
                </c:pt>
                <c:pt idx="25">
                  <c:v>11.98421052631579</c:v>
                </c:pt>
                <c:pt idx="26">
                  <c:v>12.505263157894737</c:v>
                </c:pt>
                <c:pt idx="27">
                  <c:v>13.026315789473685</c:v>
                </c:pt>
                <c:pt idx="28">
                  <c:v>13.547368421052632</c:v>
                </c:pt>
                <c:pt idx="29">
                  <c:v>14.06842105263158</c:v>
                </c:pt>
                <c:pt idx="30">
                  <c:v>14.589473684210526</c:v>
                </c:pt>
                <c:pt idx="31">
                  <c:v>15.110526315789473</c:v>
                </c:pt>
                <c:pt idx="32">
                  <c:v>15.631578947368421</c:v>
                </c:pt>
                <c:pt idx="33">
                  <c:v>16.152631578947368</c:v>
                </c:pt>
                <c:pt idx="34">
                  <c:v>16.673684210526314</c:v>
                </c:pt>
                <c:pt idx="35">
                  <c:v>17.194736842105264</c:v>
                </c:pt>
                <c:pt idx="36">
                  <c:v>17.715789473684211</c:v>
                </c:pt>
                <c:pt idx="37">
                  <c:v>18.236842105263158</c:v>
                </c:pt>
                <c:pt idx="38">
                  <c:v>18.757894736842104</c:v>
                </c:pt>
                <c:pt idx="39">
                  <c:v>19.278947368421054</c:v>
                </c:pt>
                <c:pt idx="40">
                  <c:v>19.8</c:v>
                </c:pt>
                <c:pt idx="41">
                  <c:v>20.321052631578947</c:v>
                </c:pt>
                <c:pt idx="42">
                  <c:v>20.842105263157894</c:v>
                </c:pt>
                <c:pt idx="43">
                  <c:v>21.36315789473684</c:v>
                </c:pt>
                <c:pt idx="44">
                  <c:v>21.88421052631579</c:v>
                </c:pt>
                <c:pt idx="45">
                  <c:v>22.405263157894737</c:v>
                </c:pt>
                <c:pt idx="46">
                  <c:v>22.926315789473684</c:v>
                </c:pt>
                <c:pt idx="47">
                  <c:v>23.44736842105263</c:v>
                </c:pt>
                <c:pt idx="48">
                  <c:v>23.96842105263158</c:v>
                </c:pt>
                <c:pt idx="49">
                  <c:v>24.489473684210527</c:v>
                </c:pt>
                <c:pt idx="50">
                  <c:v>25.010526315789473</c:v>
                </c:pt>
                <c:pt idx="51">
                  <c:v>25.53157894736842</c:v>
                </c:pt>
                <c:pt idx="52">
                  <c:v>26.05263157894737</c:v>
                </c:pt>
                <c:pt idx="53">
                  <c:v>26.573684210526316</c:v>
                </c:pt>
                <c:pt idx="54">
                  <c:v>27.094736842105263</c:v>
                </c:pt>
                <c:pt idx="55">
                  <c:v>27.61578947368421</c:v>
                </c:pt>
                <c:pt idx="56">
                  <c:v>28.13684210526316</c:v>
                </c:pt>
                <c:pt idx="57">
                  <c:v>28.657894736842106</c:v>
                </c:pt>
                <c:pt idx="58">
                  <c:v>29.178947368421053</c:v>
                </c:pt>
                <c:pt idx="59">
                  <c:v>29.7</c:v>
                </c:pt>
                <c:pt idx="60">
                  <c:v>30.221052631578946</c:v>
                </c:pt>
                <c:pt idx="61">
                  <c:v>30.742105263157896</c:v>
                </c:pt>
                <c:pt idx="62">
                  <c:v>31.263157894736842</c:v>
                </c:pt>
                <c:pt idx="63">
                  <c:v>31.784210526315789</c:v>
                </c:pt>
                <c:pt idx="64">
                  <c:v>32.305263157894736</c:v>
                </c:pt>
                <c:pt idx="65">
                  <c:v>32.826315789473682</c:v>
                </c:pt>
                <c:pt idx="66">
                  <c:v>33.347368421052629</c:v>
                </c:pt>
                <c:pt idx="67">
                  <c:v>33.868421052631582</c:v>
                </c:pt>
                <c:pt idx="68">
                  <c:v>34.389473684210529</c:v>
                </c:pt>
                <c:pt idx="69">
                  <c:v>34.910526315789475</c:v>
                </c:pt>
                <c:pt idx="70">
                  <c:v>35.431578947368422</c:v>
                </c:pt>
                <c:pt idx="71">
                  <c:v>35.952631578947368</c:v>
                </c:pt>
                <c:pt idx="72">
                  <c:v>36.473684210526315</c:v>
                </c:pt>
                <c:pt idx="73">
                  <c:v>36.994736842105262</c:v>
                </c:pt>
                <c:pt idx="74">
                  <c:v>37.515789473684208</c:v>
                </c:pt>
                <c:pt idx="75">
                  <c:v>38.036842105263155</c:v>
                </c:pt>
                <c:pt idx="76">
                  <c:v>38.557894736842108</c:v>
                </c:pt>
                <c:pt idx="77">
                  <c:v>39.078947368421055</c:v>
                </c:pt>
                <c:pt idx="78">
                  <c:v>39.6</c:v>
                </c:pt>
                <c:pt idx="79">
                  <c:v>40.121052631578948</c:v>
                </c:pt>
                <c:pt idx="80">
                  <c:v>40.642105263157895</c:v>
                </c:pt>
                <c:pt idx="81">
                  <c:v>41.163157894736841</c:v>
                </c:pt>
                <c:pt idx="82">
                  <c:v>41.684210526315788</c:v>
                </c:pt>
                <c:pt idx="83">
                  <c:v>42.205263157894734</c:v>
                </c:pt>
                <c:pt idx="84">
                  <c:v>42.726315789473681</c:v>
                </c:pt>
                <c:pt idx="85">
                  <c:v>43.247368421052634</c:v>
                </c:pt>
                <c:pt idx="86">
                  <c:v>43.768421052631581</c:v>
                </c:pt>
                <c:pt idx="87">
                  <c:v>44.289473684210527</c:v>
                </c:pt>
                <c:pt idx="88">
                  <c:v>44.810526315789474</c:v>
                </c:pt>
                <c:pt idx="89">
                  <c:v>45.331578947368421</c:v>
                </c:pt>
                <c:pt idx="90">
                  <c:v>45.852631578947367</c:v>
                </c:pt>
                <c:pt idx="91">
                  <c:v>46.373684210526314</c:v>
                </c:pt>
                <c:pt idx="92">
                  <c:v>46.89473684210526</c:v>
                </c:pt>
                <c:pt idx="93">
                  <c:v>47.415789473684214</c:v>
                </c:pt>
                <c:pt idx="94">
                  <c:v>47.93684210526316</c:v>
                </c:pt>
                <c:pt idx="95">
                  <c:v>48.457894736842107</c:v>
                </c:pt>
                <c:pt idx="96">
                  <c:v>48.978947368421053</c:v>
                </c:pt>
                <c:pt idx="97">
                  <c:v>49.5</c:v>
                </c:pt>
                <c:pt idx="98">
                  <c:v>50.021052631578947</c:v>
                </c:pt>
                <c:pt idx="99">
                  <c:v>50.542105263157893</c:v>
                </c:pt>
                <c:pt idx="100">
                  <c:v>51.06315789473684</c:v>
                </c:pt>
                <c:pt idx="101">
                  <c:v>51.584210526315786</c:v>
                </c:pt>
                <c:pt idx="102">
                  <c:v>52.10526315789474</c:v>
                </c:pt>
                <c:pt idx="103">
                  <c:v>52.626315789473686</c:v>
                </c:pt>
                <c:pt idx="104">
                  <c:v>53.147368421052633</c:v>
                </c:pt>
                <c:pt idx="105">
                  <c:v>53.668421052631579</c:v>
                </c:pt>
                <c:pt idx="106">
                  <c:v>54.189473684210526</c:v>
                </c:pt>
                <c:pt idx="107">
                  <c:v>54.710526315789473</c:v>
                </c:pt>
                <c:pt idx="108">
                  <c:v>55.231578947368419</c:v>
                </c:pt>
              </c:numCache>
            </c:numRef>
          </c:xVal>
          <c:yVal>
            <c:numRef>
              <c:f>formes!$O$1:$O$200</c:f>
              <c:numCache>
                <c:formatCode>General</c:formatCode>
                <c:ptCount val="200"/>
                <c:pt idx="13">
                  <c:v>7.7168748793685342</c:v>
                </c:pt>
                <c:pt idx="14">
                  <c:v>7.398602482852433</c:v>
                </c:pt>
                <c:pt idx="15">
                  <c:v>7.0863024058143527</c:v>
                </c:pt>
                <c:pt idx="16">
                  <c:v>6.7801071192159039</c:v>
                </c:pt>
                <c:pt idx="17">
                  <c:v>6.4118653884601073</c:v>
                </c:pt>
                <c:pt idx="18">
                  <c:v>6.1205999680765188</c:v>
                </c:pt>
                <c:pt idx="19">
                  <c:v>5.8355584505854479</c:v>
                </c:pt>
                <c:pt idx="20">
                  <c:v>5.4964979395911993</c:v>
                </c:pt>
                <c:pt idx="21">
                  <c:v>5.2261017062444282</c:v>
                </c:pt>
                <c:pt idx="22">
                  <c:v>4.9617579358251511</c:v>
                </c:pt>
                <c:pt idx="23">
                  <c:v>4.650348726443724</c:v>
                </c:pt>
                <c:pt idx="24">
                  <c:v>4.3998293757071281</c:v>
                </c:pt>
                <c:pt idx="25">
                  <c:v>4.1549726624118337</c:v>
                </c:pt>
                <c:pt idx="26">
                  <c:v>3.8689412340471687</c:v>
                </c:pt>
                <c:pt idx="27">
                  <c:v>3.6367031682703415</c:v>
                </c:pt>
                <c:pt idx="28">
                  <c:v>3.4095875023085673</c:v>
                </c:pt>
                <c:pt idx="29">
                  <c:v>3.2291752054191791</c:v>
                </c:pt>
                <c:pt idx="30">
                  <c:v>3.0102816333276525</c:v>
                </c:pt>
                <c:pt idx="31">
                  <c:v>2.7960394561363531</c:v>
                </c:pt>
                <c:pt idx="32">
                  <c:v>2.6242255479671206</c:v>
                </c:pt>
                <c:pt idx="33">
                  <c:v>2.4545362017720018</c:v>
                </c:pt>
                <c:pt idx="34">
                  <c:v>2.2869367358735815</c:v>
                </c:pt>
                <c:pt idx="35">
                  <c:v>2.1572838963929732</c:v>
                </c:pt>
                <c:pt idx="36">
                  <c:v>1.9929781110350056</c:v>
                </c:pt>
                <c:pt idx="37">
                  <c:v>1.8654301379938547</c:v>
                </c:pt>
                <c:pt idx="38">
                  <c:v>1.7387619645577572</c:v>
                </c:pt>
                <c:pt idx="39">
                  <c:v>1.6129881504801533</c:v>
                </c:pt>
                <c:pt idx="40">
                  <c:v>1.4881223743551641</c:v>
                </c:pt>
                <c:pt idx="41">
                  <c:v>1.3978601219349243</c:v>
                </c:pt>
                <c:pt idx="42">
                  <c:v>1.3081786978232017</c:v>
                </c:pt>
                <c:pt idx="43">
                  <c:v>1.1854363115433357</c:v>
                </c:pt>
                <c:pt idx="44">
                  <c:v>1.0969768758783971</c:v>
                </c:pt>
                <c:pt idx="45">
                  <c:v>1.0427538637538019</c:v>
                </c:pt>
                <c:pt idx="46">
                  <c:v>0.95552636890883891</c:v>
                </c:pt>
                <c:pt idx="47">
                  <c:v>0.86894141457059071</c:v>
                </c:pt>
                <c:pt idx="48">
                  <c:v>0.81684432746573599</c:v>
                </c:pt>
                <c:pt idx="49">
                  <c:v>0.73153442210904873</c:v>
                </c:pt>
                <c:pt idx="50">
                  <c:v>0.68095650521719742</c:v>
                </c:pt>
                <c:pt idx="51">
                  <c:v>0.63127111237831712</c:v>
                </c:pt>
                <c:pt idx="52">
                  <c:v>0.58247294788800508</c:v>
                </c:pt>
                <c:pt idx="53">
                  <c:v>0.53455649819644657</c:v>
                </c:pt>
                <c:pt idx="54">
                  <c:v>0.48751627751686266</c:v>
                </c:pt>
                <c:pt idx="55">
                  <c:v>0.44134611143101632</c:v>
                </c:pt>
                <c:pt idx="56">
                  <c:v>0.39603980159633878</c:v>
                </c:pt>
                <c:pt idx="57">
                  <c:v>0.35159107042328802</c:v>
                </c:pt>
                <c:pt idx="58">
                  <c:v>0.34441932152243937</c:v>
                </c:pt>
                <c:pt idx="59">
                  <c:v>0.30190459430767147</c:v>
                </c:pt>
                <c:pt idx="60">
                  <c:v>0.29747616768107005</c:v>
                </c:pt>
                <c:pt idx="61">
                  <c:v>0.25685600340866416</c:v>
                </c:pt>
                <c:pt idx="62">
                  <c:v>0.25513302568234519</c:v>
                </c:pt>
                <c:pt idx="63">
                  <c:v>0.2550508060193194</c:v>
                </c:pt>
                <c:pt idx="64">
                  <c:v>0.21731208637673349</c:v>
                </c:pt>
                <c:pt idx="65">
                  <c:v>0.21988092361263256</c:v>
                </c:pt>
                <c:pt idx="66">
                  <c:v>0.22407019197869238</c:v>
                </c:pt>
                <c:pt idx="67">
                  <c:v>0.22987594445655213</c:v>
                </c:pt>
                <c:pt idx="68">
                  <c:v>0.23729376106119393</c:v>
                </c:pt>
                <c:pt idx="69">
                  <c:v>0.28878004601941171</c:v>
                </c:pt>
                <c:pt idx="70">
                  <c:v>0.3000670997699616</c:v>
                </c:pt>
                <c:pt idx="71">
                  <c:v>0.3129617249900159</c:v>
                </c:pt>
                <c:pt idx="72">
                  <c:v>0.32745991744918529</c:v>
                </c:pt>
                <c:pt idx="73">
                  <c:v>0.38916468142712884</c:v>
                </c:pt>
                <c:pt idx="74">
                  <c:v>0.40755571303234123</c:v>
                </c:pt>
                <c:pt idx="75">
                  <c:v>0.47505398447625519</c:v>
                </c:pt>
                <c:pt idx="76">
                  <c:v>0.49736194453894927</c:v>
                </c:pt>
                <c:pt idx="77">
                  <c:v>0.57075438727911765</c:v>
                </c:pt>
                <c:pt idx="78">
                  <c:v>0.64777831130158847</c:v>
                </c:pt>
                <c:pt idx="79">
                  <c:v>0.72848973309478682</c:v>
                </c:pt>
                <c:pt idx="80">
                  <c:v>0.81294322226740645</c:v>
                </c:pt>
                <c:pt idx="81">
                  <c:v>0.84634064230303008</c:v>
                </c:pt>
                <c:pt idx="82">
                  <c:v>0.93701545320235169</c:v>
                </c:pt>
                <c:pt idx="83">
                  <c:v>1.0893098924681586</c:v>
                </c:pt>
                <c:pt idx="84">
                  <c:v>1.1892840622172072</c:v>
                </c:pt>
                <c:pt idx="85">
                  <c:v>1.293273938293289</c:v>
                </c:pt>
                <c:pt idx="86">
                  <c:v>1.4013336312514071</c:v>
                </c:pt>
                <c:pt idx="87">
                  <c:v>1.5135162534787452</c:v>
                </c:pt>
                <c:pt idx="88">
                  <c:v>1.6962075310307623</c:v>
                </c:pt>
                <c:pt idx="89">
                  <c:v>1.8184849387496556</c:v>
                </c:pt>
                <c:pt idx="90">
                  <c:v>2.0156148507752691</c:v>
                </c:pt>
                <c:pt idx="91">
                  <c:v>2.1483500707555283</c:v>
                </c:pt>
                <c:pt idx="92">
                  <c:v>2.3605012014262932</c:v>
                </c:pt>
                <c:pt idx="93">
                  <c:v>2.5817468023860668</c:v>
                </c:pt>
                <c:pt idx="94">
                  <c:v>2.7317850389528786</c:v>
                </c:pt>
                <c:pt idx="95">
                  <c:v>2.9689686873365302</c:v>
                </c:pt>
                <c:pt idx="96">
                  <c:v>3.2158070172911399</c:v>
                </c:pt>
                <c:pt idx="97">
                  <c:v>3.47250929967023</c:v>
                </c:pt>
                <c:pt idx="98">
                  <c:v>3.7392803043550322</c:v>
                </c:pt>
                <c:pt idx="99">
                  <c:v>4.016322902118036</c:v>
                </c:pt>
                <c:pt idx="100">
                  <c:v>4.3038339918796904</c:v>
                </c:pt>
                <c:pt idx="101">
                  <c:v>4.602009326937428</c:v>
                </c:pt>
                <c:pt idx="102">
                  <c:v>5.0170656420678572</c:v>
                </c:pt>
                <c:pt idx="103">
                  <c:v>5.3406856951798884</c:v>
                </c:pt>
                <c:pt idx="104">
                  <c:v>5.6755991799240064</c:v>
                </c:pt>
                <c:pt idx="105">
                  <c:v>6.1401575649188906</c:v>
                </c:pt>
                <c:pt idx="106">
                  <c:v>6.5019904573917788</c:v>
                </c:pt>
                <c:pt idx="107">
                  <c:v>7.0029129782520601</c:v>
                </c:pt>
                <c:pt idx="108">
                  <c:v>7.5252290146108551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346-4FF3-B95E-0934BE53C301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formes!$P$1:$P$200</c:f>
              <c:numCache>
                <c:formatCode>General</c:formatCode>
                <c:ptCount val="200"/>
              </c:numCache>
            </c:numRef>
          </c:xVal>
          <c:yVal>
            <c:numRef>
              <c:f>formes!$Q$1:$Q$200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346-4FF3-B95E-0934BE53C301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x"/>
            <c:size val="21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'P(F1)'!$C$14:$M$14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Lit>
              <c:formatCode>General</c:formatCode>
              <c:ptCount val="11"/>
              <c:pt idx="0">
                <c:v>40</c:v>
              </c:pt>
              <c:pt idx="1">
                <c:v>40</c:v>
              </c:pt>
              <c:pt idx="2">
                <c:v>40</c:v>
              </c:pt>
              <c:pt idx="3">
                <c:v>40</c:v>
              </c:pt>
              <c:pt idx="4">
                <c:v>40</c:v>
              </c:pt>
              <c:pt idx="5">
                <c:v>40</c:v>
              </c:pt>
              <c:pt idx="6">
                <c:v>40</c:v>
              </c:pt>
              <c:pt idx="7">
                <c:v>40</c:v>
              </c:pt>
              <c:pt idx="8">
                <c:v>40</c:v>
              </c:pt>
              <c:pt idx="9">
                <c:v>40</c:v>
              </c:pt>
              <c:pt idx="1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8346-4FF3-B95E-0934BE53C301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formes!$R$3:$R$300</c:f>
              <c:numCache>
                <c:formatCode>General</c:formatCode>
                <c:ptCount val="298"/>
                <c:pt idx="0">
                  <c:v>0</c:v>
                </c:pt>
                <c:pt idx="1">
                  <c:v>0.52105263157894732</c:v>
                </c:pt>
                <c:pt idx="2">
                  <c:v>1.0421052631578946</c:v>
                </c:pt>
                <c:pt idx="3">
                  <c:v>1.5631578947368421</c:v>
                </c:pt>
                <c:pt idx="4">
                  <c:v>2.0842105263157893</c:v>
                </c:pt>
                <c:pt idx="5">
                  <c:v>2.6052631578947367</c:v>
                </c:pt>
                <c:pt idx="6">
                  <c:v>3.1263157894736842</c:v>
                </c:pt>
                <c:pt idx="7">
                  <c:v>3.6473684210526316</c:v>
                </c:pt>
                <c:pt idx="8">
                  <c:v>4.1684210526315786</c:v>
                </c:pt>
                <c:pt idx="9">
                  <c:v>4.689473684210526</c:v>
                </c:pt>
                <c:pt idx="10">
                  <c:v>5.2105263157894735</c:v>
                </c:pt>
                <c:pt idx="11">
                  <c:v>5.7315789473684209</c:v>
                </c:pt>
                <c:pt idx="12">
                  <c:v>6.2526315789473683</c:v>
                </c:pt>
                <c:pt idx="13">
                  <c:v>6.7736842105263158</c:v>
                </c:pt>
                <c:pt idx="14">
                  <c:v>7.2947368421052632</c:v>
                </c:pt>
                <c:pt idx="15">
                  <c:v>7.8157894736842106</c:v>
                </c:pt>
                <c:pt idx="16">
                  <c:v>8.3368421052631572</c:v>
                </c:pt>
                <c:pt idx="17">
                  <c:v>8.8578947368421055</c:v>
                </c:pt>
                <c:pt idx="18">
                  <c:v>9.378947368421052</c:v>
                </c:pt>
                <c:pt idx="19">
                  <c:v>9.9</c:v>
                </c:pt>
                <c:pt idx="20">
                  <c:v>10.421052631578947</c:v>
                </c:pt>
                <c:pt idx="21">
                  <c:v>10.942105263157895</c:v>
                </c:pt>
                <c:pt idx="22">
                  <c:v>11.463157894736842</c:v>
                </c:pt>
                <c:pt idx="23">
                  <c:v>11.98421052631579</c:v>
                </c:pt>
                <c:pt idx="24">
                  <c:v>12.505263157894737</c:v>
                </c:pt>
                <c:pt idx="25">
                  <c:v>13.026315789473685</c:v>
                </c:pt>
                <c:pt idx="26">
                  <c:v>13.547368421052632</c:v>
                </c:pt>
                <c:pt idx="27">
                  <c:v>14.06842105263158</c:v>
                </c:pt>
                <c:pt idx="28">
                  <c:v>14.589473684210526</c:v>
                </c:pt>
                <c:pt idx="29">
                  <c:v>15.110526315789473</c:v>
                </c:pt>
                <c:pt idx="30">
                  <c:v>15.631578947368421</c:v>
                </c:pt>
                <c:pt idx="31">
                  <c:v>16.152631578947368</c:v>
                </c:pt>
                <c:pt idx="32">
                  <c:v>16.673684210526314</c:v>
                </c:pt>
                <c:pt idx="33">
                  <c:v>17.194736842105264</c:v>
                </c:pt>
                <c:pt idx="34">
                  <c:v>17.715789473684211</c:v>
                </c:pt>
                <c:pt idx="35">
                  <c:v>18.236842105263158</c:v>
                </c:pt>
                <c:pt idx="36">
                  <c:v>18.757894736842104</c:v>
                </c:pt>
                <c:pt idx="37">
                  <c:v>19.278947368421054</c:v>
                </c:pt>
                <c:pt idx="38">
                  <c:v>19.8</c:v>
                </c:pt>
                <c:pt idx="39">
                  <c:v>20.321052631578947</c:v>
                </c:pt>
                <c:pt idx="40">
                  <c:v>20.842105263157894</c:v>
                </c:pt>
                <c:pt idx="41">
                  <c:v>21.36315789473684</c:v>
                </c:pt>
                <c:pt idx="42">
                  <c:v>21.88421052631579</c:v>
                </c:pt>
                <c:pt idx="43">
                  <c:v>22.405263157894737</c:v>
                </c:pt>
                <c:pt idx="44">
                  <c:v>22.926315789473684</c:v>
                </c:pt>
                <c:pt idx="45">
                  <c:v>23.44736842105263</c:v>
                </c:pt>
                <c:pt idx="46">
                  <c:v>23.96842105263158</c:v>
                </c:pt>
                <c:pt idx="47">
                  <c:v>24.489473684210527</c:v>
                </c:pt>
                <c:pt idx="48">
                  <c:v>25.010526315789473</c:v>
                </c:pt>
                <c:pt idx="49">
                  <c:v>25.53157894736842</c:v>
                </c:pt>
                <c:pt idx="50">
                  <c:v>26.05263157894737</c:v>
                </c:pt>
                <c:pt idx="51">
                  <c:v>26.573684210526316</c:v>
                </c:pt>
                <c:pt idx="52">
                  <c:v>27.094736842105263</c:v>
                </c:pt>
                <c:pt idx="53">
                  <c:v>27.61578947368421</c:v>
                </c:pt>
                <c:pt idx="54">
                  <c:v>28.13684210526316</c:v>
                </c:pt>
                <c:pt idx="55">
                  <c:v>28.657894736842106</c:v>
                </c:pt>
                <c:pt idx="56">
                  <c:v>29.178947368421053</c:v>
                </c:pt>
                <c:pt idx="57">
                  <c:v>29.7</c:v>
                </c:pt>
                <c:pt idx="58">
                  <c:v>30.221052631578946</c:v>
                </c:pt>
                <c:pt idx="59">
                  <c:v>30.742105263157896</c:v>
                </c:pt>
                <c:pt idx="60">
                  <c:v>31.263157894736842</c:v>
                </c:pt>
                <c:pt idx="61">
                  <c:v>31.784210526315789</c:v>
                </c:pt>
                <c:pt idx="62">
                  <c:v>32.305263157894736</c:v>
                </c:pt>
                <c:pt idx="63">
                  <c:v>32.826315789473682</c:v>
                </c:pt>
                <c:pt idx="64">
                  <c:v>33.347368421052629</c:v>
                </c:pt>
                <c:pt idx="65">
                  <c:v>33.868421052631582</c:v>
                </c:pt>
                <c:pt idx="66">
                  <c:v>34.389473684210529</c:v>
                </c:pt>
                <c:pt idx="67">
                  <c:v>34.910526315789475</c:v>
                </c:pt>
                <c:pt idx="68">
                  <c:v>35.431578947368422</c:v>
                </c:pt>
                <c:pt idx="69">
                  <c:v>35.952631578947368</c:v>
                </c:pt>
                <c:pt idx="70">
                  <c:v>36.473684210526315</c:v>
                </c:pt>
                <c:pt idx="71">
                  <c:v>36.994736842105262</c:v>
                </c:pt>
                <c:pt idx="72">
                  <c:v>37.515789473684208</c:v>
                </c:pt>
                <c:pt idx="73">
                  <c:v>38.036842105263155</c:v>
                </c:pt>
                <c:pt idx="74">
                  <c:v>38.557894736842108</c:v>
                </c:pt>
                <c:pt idx="75">
                  <c:v>39.078947368421055</c:v>
                </c:pt>
                <c:pt idx="76">
                  <c:v>39.6</c:v>
                </c:pt>
                <c:pt idx="77">
                  <c:v>40.121052631578948</c:v>
                </c:pt>
                <c:pt idx="78">
                  <c:v>40.642105263157895</c:v>
                </c:pt>
                <c:pt idx="79">
                  <c:v>41.163157894736841</c:v>
                </c:pt>
                <c:pt idx="80">
                  <c:v>41.684210526315788</c:v>
                </c:pt>
                <c:pt idx="81">
                  <c:v>42.205263157894734</c:v>
                </c:pt>
                <c:pt idx="82">
                  <c:v>42.726315789473681</c:v>
                </c:pt>
                <c:pt idx="83">
                  <c:v>43.247368421052634</c:v>
                </c:pt>
                <c:pt idx="84">
                  <c:v>43.768421052631581</c:v>
                </c:pt>
                <c:pt idx="85">
                  <c:v>44.289473684210527</c:v>
                </c:pt>
                <c:pt idx="86">
                  <c:v>44.810526315789474</c:v>
                </c:pt>
                <c:pt idx="87">
                  <c:v>45.331578947368421</c:v>
                </c:pt>
                <c:pt idx="88">
                  <c:v>45.852631578947367</c:v>
                </c:pt>
                <c:pt idx="89">
                  <c:v>46.373684210526314</c:v>
                </c:pt>
                <c:pt idx="90">
                  <c:v>46.89473684210526</c:v>
                </c:pt>
                <c:pt idx="91">
                  <c:v>47.415789473684214</c:v>
                </c:pt>
                <c:pt idx="92">
                  <c:v>47.93684210526316</c:v>
                </c:pt>
                <c:pt idx="93">
                  <c:v>48.457894736842107</c:v>
                </c:pt>
                <c:pt idx="94">
                  <c:v>48.978947368421053</c:v>
                </c:pt>
                <c:pt idx="95">
                  <c:v>49.5</c:v>
                </c:pt>
                <c:pt idx="96">
                  <c:v>50.021052631578947</c:v>
                </c:pt>
                <c:pt idx="97">
                  <c:v>50.542105263157893</c:v>
                </c:pt>
                <c:pt idx="98">
                  <c:v>51.06315789473684</c:v>
                </c:pt>
                <c:pt idx="99">
                  <c:v>51.584210526315786</c:v>
                </c:pt>
                <c:pt idx="100">
                  <c:v>52.10526315789474</c:v>
                </c:pt>
                <c:pt idx="101">
                  <c:v>52.626315789473686</c:v>
                </c:pt>
                <c:pt idx="102">
                  <c:v>53.147368421052633</c:v>
                </c:pt>
                <c:pt idx="103">
                  <c:v>53.668421052631579</c:v>
                </c:pt>
                <c:pt idx="104">
                  <c:v>54.189473684210526</c:v>
                </c:pt>
                <c:pt idx="105">
                  <c:v>54.710526315789473</c:v>
                </c:pt>
                <c:pt idx="106">
                  <c:v>55.231578947368419</c:v>
                </c:pt>
                <c:pt idx="107">
                  <c:v>55.752631578947366</c:v>
                </c:pt>
                <c:pt idx="108">
                  <c:v>56.273684210526319</c:v>
                </c:pt>
                <c:pt idx="109">
                  <c:v>56.794736842105266</c:v>
                </c:pt>
                <c:pt idx="110">
                  <c:v>57.315789473684212</c:v>
                </c:pt>
                <c:pt idx="111">
                  <c:v>57.836842105263159</c:v>
                </c:pt>
                <c:pt idx="112">
                  <c:v>58.357894736842105</c:v>
                </c:pt>
                <c:pt idx="113">
                  <c:v>58.878947368421052</c:v>
                </c:pt>
                <c:pt idx="114">
                  <c:v>59.4</c:v>
                </c:pt>
                <c:pt idx="115">
                  <c:v>59.921052631578945</c:v>
                </c:pt>
                <c:pt idx="116">
                  <c:v>60.442105263157892</c:v>
                </c:pt>
                <c:pt idx="117">
                  <c:v>60.963157894736845</c:v>
                </c:pt>
                <c:pt idx="118">
                  <c:v>61.484210526315792</c:v>
                </c:pt>
                <c:pt idx="119">
                  <c:v>62.005263157894738</c:v>
                </c:pt>
                <c:pt idx="120">
                  <c:v>62.526315789473685</c:v>
                </c:pt>
                <c:pt idx="121">
                  <c:v>63.047368421052632</c:v>
                </c:pt>
                <c:pt idx="122">
                  <c:v>63.568421052631578</c:v>
                </c:pt>
                <c:pt idx="123">
                  <c:v>64.089473684210532</c:v>
                </c:pt>
                <c:pt idx="124">
                  <c:v>64.610526315789471</c:v>
                </c:pt>
                <c:pt idx="125">
                  <c:v>65.131578947368425</c:v>
                </c:pt>
                <c:pt idx="126">
                  <c:v>65.652631578947364</c:v>
                </c:pt>
                <c:pt idx="127">
                  <c:v>66.173684210526318</c:v>
                </c:pt>
                <c:pt idx="128">
                  <c:v>66.694736842105257</c:v>
                </c:pt>
                <c:pt idx="129">
                  <c:v>67.215789473684211</c:v>
                </c:pt>
                <c:pt idx="130">
                  <c:v>67.736842105263165</c:v>
                </c:pt>
                <c:pt idx="131">
                  <c:v>68.257894736842104</c:v>
                </c:pt>
                <c:pt idx="132">
                  <c:v>68.778947368421058</c:v>
                </c:pt>
                <c:pt idx="133">
                  <c:v>69.3</c:v>
                </c:pt>
                <c:pt idx="134">
                  <c:v>69.821052631578951</c:v>
                </c:pt>
                <c:pt idx="135">
                  <c:v>70.34210526315789</c:v>
                </c:pt>
                <c:pt idx="136">
                  <c:v>70.863157894736844</c:v>
                </c:pt>
                <c:pt idx="137">
                  <c:v>71.384210526315783</c:v>
                </c:pt>
                <c:pt idx="138">
                  <c:v>71.905263157894737</c:v>
                </c:pt>
                <c:pt idx="139">
                  <c:v>72.426315789473691</c:v>
                </c:pt>
                <c:pt idx="140">
                  <c:v>72.94736842105263</c:v>
                </c:pt>
                <c:pt idx="141">
                  <c:v>73.468421052631584</c:v>
                </c:pt>
                <c:pt idx="142">
                  <c:v>73.989473684210523</c:v>
                </c:pt>
                <c:pt idx="143">
                  <c:v>74.510526315789477</c:v>
                </c:pt>
                <c:pt idx="144">
                  <c:v>75.031578947368416</c:v>
                </c:pt>
                <c:pt idx="145">
                  <c:v>75.55263157894737</c:v>
                </c:pt>
                <c:pt idx="146">
                  <c:v>76.073684210526309</c:v>
                </c:pt>
                <c:pt idx="147">
                  <c:v>76.594736842105263</c:v>
                </c:pt>
                <c:pt idx="148">
                  <c:v>77.115789473684217</c:v>
                </c:pt>
                <c:pt idx="149">
                  <c:v>77.636842105263156</c:v>
                </c:pt>
                <c:pt idx="150">
                  <c:v>78.15789473684211</c:v>
                </c:pt>
                <c:pt idx="151">
                  <c:v>78.678947368421049</c:v>
                </c:pt>
                <c:pt idx="152">
                  <c:v>79.2</c:v>
                </c:pt>
                <c:pt idx="153">
                  <c:v>79.721052631578942</c:v>
                </c:pt>
                <c:pt idx="154">
                  <c:v>80.242105263157896</c:v>
                </c:pt>
                <c:pt idx="155">
                  <c:v>80.763157894736835</c:v>
                </c:pt>
                <c:pt idx="156">
                  <c:v>81.284210526315789</c:v>
                </c:pt>
                <c:pt idx="157">
                  <c:v>81.805263157894743</c:v>
                </c:pt>
                <c:pt idx="158">
                  <c:v>82.326315789473682</c:v>
                </c:pt>
                <c:pt idx="159">
                  <c:v>82.847368421052636</c:v>
                </c:pt>
                <c:pt idx="160">
                  <c:v>83.368421052631575</c:v>
                </c:pt>
                <c:pt idx="161">
                  <c:v>83.889473684210529</c:v>
                </c:pt>
                <c:pt idx="162">
                  <c:v>84.410526315789468</c:v>
                </c:pt>
                <c:pt idx="163">
                  <c:v>84.931578947368422</c:v>
                </c:pt>
                <c:pt idx="164">
                  <c:v>85.452631578947361</c:v>
                </c:pt>
                <c:pt idx="165">
                  <c:v>85.973684210526315</c:v>
                </c:pt>
                <c:pt idx="166">
                  <c:v>86.494736842105269</c:v>
                </c:pt>
                <c:pt idx="167">
                  <c:v>87.015789473684208</c:v>
                </c:pt>
                <c:pt idx="168">
                  <c:v>87.536842105263162</c:v>
                </c:pt>
                <c:pt idx="169">
                  <c:v>88.057894736842101</c:v>
                </c:pt>
                <c:pt idx="170">
                  <c:v>88.578947368421055</c:v>
                </c:pt>
                <c:pt idx="171">
                  <c:v>89.1</c:v>
                </c:pt>
                <c:pt idx="172">
                  <c:v>89.621052631578948</c:v>
                </c:pt>
                <c:pt idx="173">
                  <c:v>90.142105263157902</c:v>
                </c:pt>
                <c:pt idx="174">
                  <c:v>90.663157894736841</c:v>
                </c:pt>
                <c:pt idx="175">
                  <c:v>91.184210526315795</c:v>
                </c:pt>
                <c:pt idx="176">
                  <c:v>91.705263157894734</c:v>
                </c:pt>
                <c:pt idx="177">
                  <c:v>92.226315789473688</c:v>
                </c:pt>
                <c:pt idx="178">
                  <c:v>92.747368421052627</c:v>
                </c:pt>
                <c:pt idx="179">
                  <c:v>93.268421052631581</c:v>
                </c:pt>
                <c:pt idx="180">
                  <c:v>93.78947368421052</c:v>
                </c:pt>
                <c:pt idx="181">
                  <c:v>94.310526315789474</c:v>
                </c:pt>
                <c:pt idx="182">
                  <c:v>94.831578947368428</c:v>
                </c:pt>
                <c:pt idx="183">
                  <c:v>95.352631578947367</c:v>
                </c:pt>
                <c:pt idx="184">
                  <c:v>95.873684210526321</c:v>
                </c:pt>
                <c:pt idx="185">
                  <c:v>96.39473684210526</c:v>
                </c:pt>
                <c:pt idx="186">
                  <c:v>96.915789473684214</c:v>
                </c:pt>
                <c:pt idx="187">
                  <c:v>97.436842105263153</c:v>
                </c:pt>
                <c:pt idx="188">
                  <c:v>97.957894736842107</c:v>
                </c:pt>
                <c:pt idx="189">
                  <c:v>98.478947368421046</c:v>
                </c:pt>
                <c:pt idx="190">
                  <c:v>99</c:v>
                </c:pt>
              </c:numCache>
            </c:numRef>
          </c:xVal>
          <c:yVal>
            <c:numRef>
              <c:f>formes!$S$3:$S$300</c:f>
              <c:numCache>
                <c:formatCode>General</c:formatCode>
                <c:ptCount val="298"/>
                <c:pt idx="0">
                  <c:v>2</c:v>
                </c:pt>
                <c:pt idx="1">
                  <c:v>1.8653110265731812</c:v>
                </c:pt>
                <c:pt idx="2">
                  <c:v>1.7318509817123413</c:v>
                </c:pt>
                <c:pt idx="3">
                  <c:v>1.5996167659759521</c:v>
                </c:pt>
                <c:pt idx="4">
                  <c:v>1.4686084985733032</c:v>
                </c:pt>
                <c:pt idx="5">
                  <c:v>1.3388289213180542</c:v>
                </c:pt>
                <c:pt idx="6">
                  <c:v>1.2102826833724976</c:v>
                </c:pt>
                <c:pt idx="7">
                  <c:v>1.0829774141311646</c:v>
                </c:pt>
                <c:pt idx="8">
                  <c:v>0.95692139863967896</c:v>
                </c:pt>
                <c:pt idx="9">
                  <c:v>0.83212500810623169</c:v>
                </c:pt>
                <c:pt idx="10">
                  <c:v>0.70859944820404053</c:v>
                </c:pt>
                <c:pt idx="11">
                  <c:v>0.58635711669921875</c:v>
                </c:pt>
                <c:pt idx="12">
                  <c:v>0.46541061997413635</c:v>
                </c:pt>
                <c:pt idx="13">
                  <c:v>0.34577363729476929</c:v>
                </c:pt>
                <c:pt idx="14">
                  <c:v>0.22745968401432037</c:v>
                </c:pt>
                <c:pt idx="15">
                  <c:v>0.11048275232315063</c:v>
                </c:pt>
                <c:pt idx="16">
                  <c:v>-5.1433411426842213E-3</c:v>
                </c:pt>
                <c:pt idx="17">
                  <c:v>-0.1194048598408699</c:v>
                </c:pt>
                <c:pt idx="18">
                  <c:v>-0.23228843510150909</c:v>
                </c:pt>
                <c:pt idx="19">
                  <c:v>-0.34378093481063843</c:v>
                </c:pt>
                <c:pt idx="20">
                  <c:v>-0.45386976003646851</c:v>
                </c:pt>
                <c:pt idx="21">
                  <c:v>-0.56254291534423828</c:v>
                </c:pt>
                <c:pt idx="22">
                  <c:v>-0.66978895664215088</c:v>
                </c:pt>
                <c:pt idx="23">
                  <c:v>-0.77559745311737061</c:v>
                </c:pt>
                <c:pt idx="24">
                  <c:v>-0.87995821237564087</c:v>
                </c:pt>
                <c:pt idx="25">
                  <c:v>-0.98286205530166626</c:v>
                </c:pt>
                <c:pt idx="26">
                  <c:v>-1.0843009948730469</c:v>
                </c:pt>
                <c:pt idx="27">
                  <c:v>-1.184267520904541</c:v>
                </c:pt>
                <c:pt idx="28">
                  <c:v>-1.2827548980712891</c:v>
                </c:pt>
                <c:pt idx="29">
                  <c:v>-1.3797578811645508</c:v>
                </c:pt>
                <c:pt idx="30">
                  <c:v>-1.4752717018127441</c:v>
                </c:pt>
                <c:pt idx="31">
                  <c:v>-1.5692923069000244</c:v>
                </c:pt>
                <c:pt idx="32">
                  <c:v>-1.6618177890777588</c:v>
                </c:pt>
                <c:pt idx="33">
                  <c:v>-1.7528454065322876</c:v>
                </c:pt>
                <c:pt idx="34">
                  <c:v>-1.842374324798584</c:v>
                </c:pt>
                <c:pt idx="35">
                  <c:v>-1.9304046630859375</c:v>
                </c:pt>
                <c:pt idx="36">
                  <c:v>-2.0169377326965332</c:v>
                </c:pt>
                <c:pt idx="37">
                  <c:v>-2.1019740104675293</c:v>
                </c:pt>
                <c:pt idx="38">
                  <c:v>-2.1855175495147705</c:v>
                </c:pt>
                <c:pt idx="39">
                  <c:v>-2.2675704956054688</c:v>
                </c:pt>
                <c:pt idx="40">
                  <c:v>-2.3481385707855225</c:v>
                </c:pt>
                <c:pt idx="41">
                  <c:v>-2.4272251129150391</c:v>
                </c:pt>
                <c:pt idx="42">
                  <c:v>-2.5048360824584961</c:v>
                </c:pt>
                <c:pt idx="43">
                  <c:v>-2.5809786319732666</c:v>
                </c:pt>
                <c:pt idx="44">
                  <c:v>-2.6556596755981445</c:v>
                </c:pt>
                <c:pt idx="45">
                  <c:v>-2.7288863658905029</c:v>
                </c:pt>
                <c:pt idx="46">
                  <c:v>-2.8006670475006104</c:v>
                </c:pt>
                <c:pt idx="47">
                  <c:v>-2.87101149559021</c:v>
                </c:pt>
                <c:pt idx="48">
                  <c:v>-2.9399278163909912</c:v>
                </c:pt>
                <c:pt idx="49">
                  <c:v>-3.0074265003204346</c:v>
                </c:pt>
                <c:pt idx="50">
                  <c:v>-3.0735175609588623</c:v>
                </c:pt>
                <c:pt idx="51">
                  <c:v>-3.1382119655609131</c:v>
                </c:pt>
                <c:pt idx="52">
                  <c:v>-3.2015206813812256</c:v>
                </c:pt>
                <c:pt idx="53">
                  <c:v>-3.263455867767334</c:v>
                </c:pt>
                <c:pt idx="54">
                  <c:v>-3.3240277767181396</c:v>
                </c:pt>
                <c:pt idx="55">
                  <c:v>-3.3832497596740723</c:v>
                </c:pt>
                <c:pt idx="56">
                  <c:v>-3.441133975982666</c:v>
                </c:pt>
                <c:pt idx="57">
                  <c:v>-3.4976913928985596</c:v>
                </c:pt>
                <c:pt idx="58">
                  <c:v>-3.5529375076293945</c:v>
                </c:pt>
                <c:pt idx="59">
                  <c:v>-3.6068813800811768</c:v>
                </c:pt>
                <c:pt idx="60">
                  <c:v>-3.6595382690429688</c:v>
                </c:pt>
                <c:pt idx="61">
                  <c:v>-3.7109205722808838</c:v>
                </c:pt>
                <c:pt idx="62">
                  <c:v>-3.761040210723877</c:v>
                </c:pt>
                <c:pt idx="63">
                  <c:v>-3.8099124431610107</c:v>
                </c:pt>
                <c:pt idx="64">
                  <c:v>-3.8575479984283447</c:v>
                </c:pt>
                <c:pt idx="65">
                  <c:v>-3.9039607048034668</c:v>
                </c:pt>
                <c:pt idx="66">
                  <c:v>-3.9491627216339111</c:v>
                </c:pt>
                <c:pt idx="67">
                  <c:v>-3.9931676387786865</c:v>
                </c:pt>
                <c:pt idx="68">
                  <c:v>-4.0359878540039063</c:v>
                </c:pt>
                <c:pt idx="69">
                  <c:v>-4.0776348114013672</c:v>
                </c:pt>
                <c:pt idx="70">
                  <c:v>-4.1181211471557617</c:v>
                </c:pt>
                <c:pt idx="71">
                  <c:v>-4.1574592590332031</c:v>
                </c:pt>
                <c:pt idx="72">
                  <c:v>-4.1956605911254883</c:v>
                </c:pt>
                <c:pt idx="73">
                  <c:v>-4.2327365875244141</c:v>
                </c:pt>
                <c:pt idx="74">
                  <c:v>-4.2686982154846191</c:v>
                </c:pt>
                <c:pt idx="75">
                  <c:v>-4.3035573959350586</c:v>
                </c:pt>
                <c:pt idx="76">
                  <c:v>-4.3373255729675293</c:v>
                </c:pt>
                <c:pt idx="77">
                  <c:v>-4.3700094223022461</c:v>
                </c:pt>
                <c:pt idx="78">
                  <c:v>-4.4016227722167969</c:v>
                </c:pt>
                <c:pt idx="79">
                  <c:v>-4.4321742057800293</c:v>
                </c:pt>
                <c:pt idx="80">
                  <c:v>-4.4616727828979492</c:v>
                </c:pt>
                <c:pt idx="81">
                  <c:v>-4.4901280403137207</c:v>
                </c:pt>
                <c:pt idx="82">
                  <c:v>-4.5175457000732422</c:v>
                </c:pt>
                <c:pt idx="83">
                  <c:v>-4.543938159942627</c:v>
                </c:pt>
                <c:pt idx="84">
                  <c:v>-4.5693111419677734</c:v>
                </c:pt>
                <c:pt idx="85">
                  <c:v>-4.5936708450317383</c:v>
                </c:pt>
                <c:pt idx="86">
                  <c:v>-4.6170268058776855</c:v>
                </c:pt>
                <c:pt idx="87">
                  <c:v>-4.6393818855285645</c:v>
                </c:pt>
                <c:pt idx="88">
                  <c:v>-4.6607451438903809</c:v>
                </c:pt>
                <c:pt idx="89">
                  <c:v>-4.6811227798461914</c:v>
                </c:pt>
                <c:pt idx="90">
                  <c:v>-4.7005152702331543</c:v>
                </c:pt>
                <c:pt idx="91">
                  <c:v>-4.718930721282959</c:v>
                </c:pt>
                <c:pt idx="92">
                  <c:v>-4.7363705635070801</c:v>
                </c:pt>
                <c:pt idx="93">
                  <c:v>-4.7528414726257324</c:v>
                </c:pt>
                <c:pt idx="94">
                  <c:v>-4.7683448791503906</c:v>
                </c:pt>
                <c:pt idx="95">
                  <c:v>-4.7828841209411621</c:v>
                </c:pt>
                <c:pt idx="96">
                  <c:v>-4.7964572906494141</c:v>
                </c:pt>
                <c:pt idx="97">
                  <c:v>-4.8090710639953613</c:v>
                </c:pt>
                <c:pt idx="98">
                  <c:v>-4.8207201957702637</c:v>
                </c:pt>
                <c:pt idx="99">
                  <c:v>-4.8314108848571777</c:v>
                </c:pt>
                <c:pt idx="100">
                  <c:v>-4.8411383628845215</c:v>
                </c:pt>
                <c:pt idx="101">
                  <c:v>-4.8499050140380859</c:v>
                </c:pt>
                <c:pt idx="102">
                  <c:v>-4.8577075004577637</c:v>
                </c:pt>
                <c:pt idx="103">
                  <c:v>-4.8645415306091309</c:v>
                </c:pt>
                <c:pt idx="104">
                  <c:v>-4.8704094886779785</c:v>
                </c:pt>
                <c:pt idx="105">
                  <c:v>-4.8753037452697754</c:v>
                </c:pt>
                <c:pt idx="106">
                  <c:v>-4.8792262077331543</c:v>
                </c:pt>
                <c:pt idx="107">
                  <c:v>-4.8821635246276855</c:v>
                </c:pt>
                <c:pt idx="108">
                  <c:v>-4.8841147422790527</c:v>
                </c:pt>
                <c:pt idx="109">
                  <c:v>-4.8850746154785156</c:v>
                </c:pt>
                <c:pt idx="110">
                  <c:v>-4.8850388526916504</c:v>
                </c:pt>
                <c:pt idx="111">
                  <c:v>-4.8839921951293945</c:v>
                </c:pt>
                <c:pt idx="112">
                  <c:v>-4.8819379806518555</c:v>
                </c:pt>
                <c:pt idx="113">
                  <c:v>-4.8788590431213379</c:v>
                </c:pt>
                <c:pt idx="114">
                  <c:v>-4.874748706817627</c:v>
                </c:pt>
                <c:pt idx="115">
                  <c:v>-4.8695988655090332</c:v>
                </c:pt>
                <c:pt idx="116">
                  <c:v>-4.8633975982666016</c:v>
                </c:pt>
                <c:pt idx="117">
                  <c:v>-4.8561286926269531</c:v>
                </c:pt>
                <c:pt idx="118">
                  <c:v>-4.8477911949157715</c:v>
                </c:pt>
                <c:pt idx="119">
                  <c:v>-4.8383722305297852</c:v>
                </c:pt>
                <c:pt idx="120">
                  <c:v>-4.8278427124023438</c:v>
                </c:pt>
                <c:pt idx="121">
                  <c:v>-4.8162040710449219</c:v>
                </c:pt>
                <c:pt idx="122">
                  <c:v>-4.8034324645996094</c:v>
                </c:pt>
                <c:pt idx="123">
                  <c:v>-4.789522647857666</c:v>
                </c:pt>
                <c:pt idx="124">
                  <c:v>-4.7744431495666504</c:v>
                </c:pt>
                <c:pt idx="125">
                  <c:v>-4.7581920623779297</c:v>
                </c:pt>
                <c:pt idx="126">
                  <c:v>-4.7407422065734863</c:v>
                </c:pt>
                <c:pt idx="127">
                  <c:v>-4.722083568572998</c:v>
                </c:pt>
                <c:pt idx="128">
                  <c:v>-4.7021908760070801</c:v>
                </c:pt>
                <c:pt idx="129">
                  <c:v>-4.6810417175292969</c:v>
                </c:pt>
                <c:pt idx="130">
                  <c:v>-4.6586241722106934</c:v>
                </c:pt>
                <c:pt idx="131">
                  <c:v>-4.6349153518676758</c:v>
                </c:pt>
                <c:pt idx="132">
                  <c:v>-4.6098790168762207</c:v>
                </c:pt>
                <c:pt idx="133">
                  <c:v>-4.5835232734680176</c:v>
                </c:pt>
                <c:pt idx="134">
                  <c:v>-4.5557928085327148</c:v>
                </c:pt>
                <c:pt idx="135">
                  <c:v>-4.5266799926757813</c:v>
                </c:pt>
                <c:pt idx="136">
                  <c:v>-4.4961695671081543</c:v>
                </c:pt>
                <c:pt idx="137">
                  <c:v>-4.4642043113708496</c:v>
                </c:pt>
                <c:pt idx="138">
                  <c:v>-4.4307947158813477</c:v>
                </c:pt>
                <c:pt idx="139">
                  <c:v>-4.395899772644043</c:v>
                </c:pt>
                <c:pt idx="140">
                  <c:v>-4.3594875335693359</c:v>
                </c:pt>
                <c:pt idx="141">
                  <c:v>-4.3215241432189941</c:v>
                </c:pt>
                <c:pt idx="142">
                  <c:v>-4.2820000648498535</c:v>
                </c:pt>
                <c:pt idx="143">
                  <c:v>-4.2408699989318848</c:v>
                </c:pt>
                <c:pt idx="144">
                  <c:v>-4.1981320381164551</c:v>
                </c:pt>
                <c:pt idx="145">
                  <c:v>-4.1537270545959473</c:v>
                </c:pt>
                <c:pt idx="146">
                  <c:v>-4.1076383590698242</c:v>
                </c:pt>
                <c:pt idx="147">
                  <c:v>-4.059852123260498</c:v>
                </c:pt>
                <c:pt idx="148">
                  <c:v>-4.0102825164794922</c:v>
                </c:pt>
                <c:pt idx="149">
                  <c:v>-3.9589719772338867</c:v>
                </c:pt>
                <c:pt idx="150">
                  <c:v>-3.9058384895324707</c:v>
                </c:pt>
                <c:pt idx="151">
                  <c:v>-3.8508725166320801</c:v>
                </c:pt>
                <c:pt idx="152">
                  <c:v>-3.7940382957458496</c:v>
                </c:pt>
                <c:pt idx="153">
                  <c:v>-3.7352983951568604</c:v>
                </c:pt>
                <c:pt idx="154">
                  <c:v>-3.6746282577514648</c:v>
                </c:pt>
                <c:pt idx="155">
                  <c:v>-3.6119840145111084</c:v>
                </c:pt>
                <c:pt idx="156">
                  <c:v>-3.5473873615264893</c:v>
                </c:pt>
                <c:pt idx="157">
                  <c:v>-3.4806945323944092</c:v>
                </c:pt>
                <c:pt idx="158">
                  <c:v>-3.4120216369628906</c:v>
                </c:pt>
                <c:pt idx="159">
                  <c:v>-3.3412573337554932</c:v>
                </c:pt>
                <c:pt idx="160">
                  <c:v>-3.2683484554290771</c:v>
                </c:pt>
                <c:pt idx="161">
                  <c:v>-3.1932756900787354</c:v>
                </c:pt>
                <c:pt idx="162">
                  <c:v>-3.1160786151885986</c:v>
                </c:pt>
                <c:pt idx="163">
                  <c:v>-3.0366702079772949</c:v>
                </c:pt>
                <c:pt idx="164">
                  <c:v>-2.955035924911499</c:v>
                </c:pt>
                <c:pt idx="165">
                  <c:v>-2.8711278438568115</c:v>
                </c:pt>
                <c:pt idx="166">
                  <c:v>-2.7849521636962891</c:v>
                </c:pt>
                <c:pt idx="167">
                  <c:v>-2.6964957714080811</c:v>
                </c:pt>
                <c:pt idx="168">
                  <c:v>-2.6056699752807617</c:v>
                </c:pt>
                <c:pt idx="169">
                  <c:v>-2.5125472545623779</c:v>
                </c:pt>
                <c:pt idx="170">
                  <c:v>-2.4169943332672119</c:v>
                </c:pt>
                <c:pt idx="171">
                  <c:v>-2.3191068172454834</c:v>
                </c:pt>
                <c:pt idx="172">
                  <c:v>-2.2188405990600586</c:v>
                </c:pt>
                <c:pt idx="173">
                  <c:v>-2.1161952018737793</c:v>
                </c:pt>
                <c:pt idx="174">
                  <c:v>-2.0110507011413574</c:v>
                </c:pt>
                <c:pt idx="175">
                  <c:v>-1.9034761190414429</c:v>
                </c:pt>
                <c:pt idx="176">
                  <c:v>-1.7934740781784058</c:v>
                </c:pt>
                <c:pt idx="177">
                  <c:v>-1.6810562610626221</c:v>
                </c:pt>
                <c:pt idx="178">
                  <c:v>-1.5661171674728394</c:v>
                </c:pt>
                <c:pt idx="179">
                  <c:v>-1.4487451314926147</c:v>
                </c:pt>
                <c:pt idx="180">
                  <c:v>-1.3289703130722046</c:v>
                </c:pt>
                <c:pt idx="181">
                  <c:v>-1.2067232131958008</c:v>
                </c:pt>
                <c:pt idx="182">
                  <c:v>-1.0820558071136475</c:v>
                </c:pt>
                <c:pt idx="183">
                  <c:v>-0.95501506328582764</c:v>
                </c:pt>
                <c:pt idx="184">
                  <c:v>-0.82556241750717163</c:v>
                </c:pt>
                <c:pt idx="185">
                  <c:v>-0.6936219334602356</c:v>
                </c:pt>
                <c:pt idx="186">
                  <c:v>-0.55952531099319458</c:v>
                </c:pt>
                <c:pt idx="187">
                  <c:v>-0.42305997014045715</c:v>
                </c:pt>
                <c:pt idx="188">
                  <c:v>-0.28424930572509766</c:v>
                </c:pt>
                <c:pt idx="189">
                  <c:v>-0.14320103824138641</c:v>
                </c:pt>
                <c:pt idx="190">
                  <c:v>4.4360192987369373E-5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346-4FF3-B95E-0934BE53C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70991"/>
        <c:axId val="1"/>
      </c:scatterChart>
      <c:valAx>
        <c:axId val="893970991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crossBetween val="midCat"/>
      </c:valAx>
      <c:valAx>
        <c:axId val="1"/>
        <c:scaling>
          <c:orientation val="minMax"/>
          <c:max val="6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70991"/>
        <c:crossesAt val="-10"/>
        <c:crossBetween val="midCat"/>
      </c:valAx>
      <c:spPr>
        <a:solidFill>
          <a:srgbClr val="000000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55555555555559E-2"/>
          <c:y val="3.1945788964181994E-2"/>
          <c:w val="0.84219858156028382"/>
          <c:h val="0.9031945788964183"/>
        </c:manualLayout>
      </c:layout>
      <c:scatterChart>
        <c:scatterStyle val="lineMarker"/>
        <c:varyColors val="0"/>
        <c:ser>
          <c:idx val="0"/>
          <c:order val="0"/>
          <c:tx>
            <c:strRef>
              <c:f>Aires!$B$4</c:f>
              <c:strCache>
                <c:ptCount val="1"/>
                <c:pt idx="0">
                  <c:v>0.00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Aires!$A$6:$A$200</c:f>
              <c:numCache>
                <c:formatCode>General</c:formatCode>
                <c:ptCount val="195"/>
              </c:numCache>
            </c:numRef>
          </c:xVal>
          <c:yVal>
            <c:numRef>
              <c:f>Aires!$B$6:$B$200</c:f>
              <c:numCache>
                <c:formatCode>0.00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1F-4DB7-8991-6F7EED545891}"/>
            </c:ext>
          </c:extLst>
        </c:ser>
        <c:ser>
          <c:idx val="1"/>
          <c:order val="1"/>
          <c:tx>
            <c:strRef>
              <c:f>Aires!$C$4</c:f>
              <c:strCache>
                <c:ptCount val="1"/>
                <c:pt idx="0">
                  <c:v>20.00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Aires!$A$6:$A$200</c:f>
              <c:numCache>
                <c:formatCode>General</c:formatCode>
                <c:ptCount val="195"/>
              </c:numCache>
            </c:numRef>
          </c:xVal>
          <c:yVal>
            <c:numRef>
              <c:f>Aires!$C$6:$C$200</c:f>
              <c:numCache>
                <c:formatCode>0.00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1F-4DB7-8991-6F7EED545891}"/>
            </c:ext>
          </c:extLst>
        </c:ser>
        <c:ser>
          <c:idx val="2"/>
          <c:order val="2"/>
          <c:tx>
            <c:strRef>
              <c:f>Aires!$D$4</c:f>
              <c:strCache>
                <c:ptCount val="1"/>
                <c:pt idx="0">
                  <c:v>40.00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Aires!$A$6:$A$200</c:f>
              <c:numCache>
                <c:formatCode>General</c:formatCode>
                <c:ptCount val="195"/>
              </c:numCache>
            </c:numRef>
          </c:xVal>
          <c:yVal>
            <c:numRef>
              <c:f>Aires!$D$6:$D$200</c:f>
              <c:numCache>
                <c:formatCode>0.00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1F-4DB7-8991-6F7EED545891}"/>
            </c:ext>
          </c:extLst>
        </c:ser>
        <c:ser>
          <c:idx val="3"/>
          <c:order val="3"/>
          <c:tx>
            <c:strRef>
              <c:f>Aires!$E$4</c:f>
              <c:strCache>
                <c:ptCount val="1"/>
                <c:pt idx="0">
                  <c:v>60.00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Aires!$A$6:$A$200</c:f>
              <c:numCache>
                <c:formatCode>General</c:formatCode>
                <c:ptCount val="195"/>
              </c:numCache>
            </c:numRef>
          </c:xVal>
          <c:yVal>
            <c:numRef>
              <c:f>Aires!$E$6:$E$200</c:f>
              <c:numCache>
                <c:formatCode>0.00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1F-4DB7-8991-6F7EED545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62831"/>
        <c:axId val="1"/>
      </c:scatterChart>
      <c:valAx>
        <c:axId val="8939628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6283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257683215130026"/>
          <c:y val="0.41723136495643759"/>
          <c:w val="7.5650118203309691E-2"/>
          <c:h val="0.132623426911907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832151300236406E-2"/>
          <c:y val="3.1945788964181994E-2"/>
          <c:w val="0.89539007092198575"/>
          <c:h val="0.89351403678606001"/>
        </c:manualLayout>
      </c:layout>
      <c:scatterChart>
        <c:scatterStyle val="smoothMarker"/>
        <c:varyColors val="0"/>
        <c:ser>
          <c:idx val="1"/>
          <c:order val="0"/>
          <c:tx>
            <c:strRef>
              <c:f>Resultats!$P$11</c:f>
              <c:strCache>
                <c:ptCount val="1"/>
                <c:pt idx="0">
                  <c:v>Cry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Resultats!$A$13:$A$100</c:f>
              <c:numCache>
                <c:formatCode>0.00</c:formatCode>
                <c:ptCount val="88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29.999999999999996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59.999999999999993</c:v>
                </c:pt>
              </c:numCache>
            </c:numRef>
          </c:xVal>
          <c:yVal>
            <c:numRef>
              <c:f>Resultats!$P$13:$P$100</c:f>
              <c:numCache>
                <c:formatCode>0.0E+00</c:formatCode>
                <c:ptCount val="88"/>
                <c:pt idx="0">
                  <c:v>-1.3635455902770208</c:v>
                </c:pt>
                <c:pt idx="1">
                  <c:v>-8.7365282811511307</c:v>
                </c:pt>
                <c:pt idx="2">
                  <c:v>-30.057623433655863</c:v>
                </c:pt>
                <c:pt idx="3">
                  <c:v>-61.531198194095552</c:v>
                </c:pt>
                <c:pt idx="4">
                  <c:v>-100.86667249296978</c:v>
                </c:pt>
                <c:pt idx="5">
                  <c:v>-147.45956008963796</c:v>
                </c:pt>
                <c:pt idx="6">
                  <c:v>-201.38739320308164</c:v>
                </c:pt>
                <c:pt idx="7">
                  <c:v>-262.35409153038671</c:v>
                </c:pt>
                <c:pt idx="8">
                  <c:v>-321.83005071392387</c:v>
                </c:pt>
                <c:pt idx="9">
                  <c:v>-371.74595596276959</c:v>
                </c:pt>
                <c:pt idx="10">
                  <c:v>-408.97162616939261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C8-478C-B02D-9D8B97377B85}"/>
            </c:ext>
          </c:extLst>
        </c:ser>
        <c:ser>
          <c:idx val="4"/>
          <c:order val="1"/>
          <c:tx>
            <c:strRef>
              <c:f>Resultats!$B$11</c:f>
              <c:strCache>
                <c:ptCount val="1"/>
                <c:pt idx="0">
                  <c:v>Assiette (°)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Resultats!$A$13:$A$100</c:f>
              <c:numCache>
                <c:formatCode>0.00</c:formatCode>
                <c:ptCount val="88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29.999999999999996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59.999999999999993</c:v>
                </c:pt>
              </c:numCache>
            </c:numRef>
          </c:xVal>
          <c:yVal>
            <c:numRef>
              <c:f>Resultats!$B$13:$B$100</c:f>
              <c:numCache>
                <c:formatCode>0.00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C8-478C-B02D-9D8B97377B85}"/>
            </c:ext>
          </c:extLst>
        </c:ser>
        <c:ser>
          <c:idx val="5"/>
          <c:order val="2"/>
          <c:tx>
            <c:strRef>
              <c:f>Resultats!$S$11</c:f>
              <c:strCache>
                <c:ptCount val="1"/>
                <c:pt idx="0">
                  <c:v>% erreur V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Resultats!$A$13:$A$100</c:f>
              <c:numCache>
                <c:formatCode>0.00</c:formatCode>
                <c:ptCount val="88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29.999999999999996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59.999999999999993</c:v>
                </c:pt>
              </c:numCache>
            </c:numRef>
          </c:xVal>
          <c:yVal>
            <c:numRef>
              <c:f>Resultats!$S$13:$S$100</c:f>
              <c:numCache>
                <c:formatCode>0.000</c:formatCode>
                <c:ptCount val="88"/>
                <c:pt idx="0">
                  <c:v>0.94580835103988647</c:v>
                </c:pt>
                <c:pt idx="1">
                  <c:v>0.94487679004669189</c:v>
                </c:pt>
                <c:pt idx="2">
                  <c:v>0.93360120058059692</c:v>
                </c:pt>
                <c:pt idx="3">
                  <c:v>0.90873926877975464</c:v>
                </c:pt>
                <c:pt idx="4">
                  <c:v>0.88201451301574707</c:v>
                </c:pt>
                <c:pt idx="5">
                  <c:v>0.85014450550079346</c:v>
                </c:pt>
                <c:pt idx="6">
                  <c:v>0.81231933832168579</c:v>
                </c:pt>
                <c:pt idx="7">
                  <c:v>0.76107150316238403</c:v>
                </c:pt>
                <c:pt idx="8">
                  <c:v>0.70810651779174805</c:v>
                </c:pt>
                <c:pt idx="9">
                  <c:v>0.65287971496582031</c:v>
                </c:pt>
                <c:pt idx="10">
                  <c:v>0.59596675634384155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C8-478C-B02D-9D8B97377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39311"/>
        <c:axId val="1"/>
      </c:scatterChart>
      <c:valAx>
        <c:axId val="893939311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3931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8829787234042551"/>
          <c:y val="0.96224588576960313"/>
          <c:w val="0.27186761229314421"/>
          <c:h val="3.58180058083252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283687943262408E-2"/>
          <c:y val="3.1945788964181994E-2"/>
          <c:w val="0.91193853427895988"/>
          <c:h val="0.8935140367860600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Resultats!$E$11</c:f>
              <c:strCache>
                <c:ptCount val="1"/>
                <c:pt idx="0">
                  <c:v>Var. SM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Resultats!$A$13:$A$100</c:f>
              <c:numCache>
                <c:formatCode>0.00</c:formatCode>
                <c:ptCount val="88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29.999999999999996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59.999999999999993</c:v>
                </c:pt>
              </c:numCache>
            </c:numRef>
          </c:xVal>
          <c:yVal>
            <c:numRef>
              <c:f>Resultats!$E$13:$E$100</c:f>
              <c:numCache>
                <c:formatCode>0.00</c:formatCode>
                <c:ptCount val="88"/>
                <c:pt idx="0">
                  <c:v>0</c:v>
                </c:pt>
                <c:pt idx="1">
                  <c:v>-0.27458757407798295</c:v>
                </c:pt>
                <c:pt idx="2">
                  <c:v>-0.61622412771453172</c:v>
                </c:pt>
                <c:pt idx="3">
                  <c:v>-1.6495332248445544</c:v>
                </c:pt>
                <c:pt idx="4">
                  <c:v>-2.8928368266122604</c:v>
                </c:pt>
                <c:pt idx="5">
                  <c:v>-3.4111111819276783</c:v>
                </c:pt>
                <c:pt idx="6">
                  <c:v>-3.545781079611948</c:v>
                </c:pt>
                <c:pt idx="7">
                  <c:v>57.265006858199783</c:v>
                </c:pt>
                <c:pt idx="8">
                  <c:v>61.972420639038297</c:v>
                </c:pt>
                <c:pt idx="9">
                  <c:v>59.479278371375699</c:v>
                </c:pt>
                <c:pt idx="10">
                  <c:v>56.636237277939351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2D-4745-A7C1-FC38EDECDB79}"/>
            </c:ext>
          </c:extLst>
        </c:ser>
        <c:ser>
          <c:idx val="3"/>
          <c:order val="1"/>
          <c:tx>
            <c:strRef>
              <c:f>Resultats!$G$11</c:f>
              <c:strCache>
                <c:ptCount val="1"/>
                <c:pt idx="0">
                  <c:v>Tab. arr.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Resultats!$A$13:$A$100</c:f>
              <c:numCache>
                <c:formatCode>0.00</c:formatCode>
                <c:ptCount val="88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29.999999999999996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59.999999999999993</c:v>
                </c:pt>
              </c:numCache>
            </c:numRef>
          </c:xVal>
          <c:yVal>
            <c:numRef>
              <c:f>Resultats!$G$13:$G$100</c:f>
              <c:numCache>
                <c:formatCode>0.00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0.71439607900495106</c:v>
                </c:pt>
                <c:pt idx="3">
                  <c:v>3.1927557996682161</c:v>
                </c:pt>
                <c:pt idx="4">
                  <c:v>5.9622960859065177</c:v>
                </c:pt>
                <c:pt idx="5">
                  <c:v>8.9524053118391294</c:v>
                </c:pt>
                <c:pt idx="6">
                  <c:v>12.301428584398666</c:v>
                </c:pt>
                <c:pt idx="7">
                  <c:v>16.338773540150481</c:v>
                </c:pt>
                <c:pt idx="8">
                  <c:v>20.650362802031825</c:v>
                </c:pt>
                <c:pt idx="9">
                  <c:v>24.563317446255212</c:v>
                </c:pt>
                <c:pt idx="10">
                  <c:v>27.873307957039597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2D-4745-A7C1-FC38EDECD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86351"/>
        <c:axId val="1"/>
      </c:scatterChart>
      <c:valAx>
        <c:axId val="893986351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8635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2612293144208041"/>
          <c:y val="0.96224588576960313"/>
          <c:w val="0.18026004728132389"/>
          <c:h val="3.58180058083252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390070921985815"/>
          <c:y val="2.03291384317521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323877068557919E-2"/>
          <c:y val="9.3901258470474341E-2"/>
          <c:w val="0.90898345153664306"/>
          <c:h val="0.84220716360116177"/>
        </c:manualLayout>
      </c:layout>
      <c:scatterChart>
        <c:scatterStyle val="smoothMarker"/>
        <c:varyColors val="0"/>
        <c:ser>
          <c:idx val="0"/>
          <c:order val="0"/>
          <c:tx>
            <c:v>Moment de redressement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Resultats!$A$13:$A$100</c:f>
              <c:numCache>
                <c:formatCode>0.00</c:formatCode>
                <c:ptCount val="88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29.999999999999996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59.999999999999993</c:v>
                </c:pt>
              </c:numCache>
            </c:numRef>
          </c:xVal>
          <c:yVal>
            <c:numRef>
              <c:f>Resultats!$F$13:$F$100</c:f>
              <c:numCache>
                <c:formatCode>0.00</c:formatCode>
                <c:ptCount val="88"/>
                <c:pt idx="0">
                  <c:v>-9.4242852897653707E-11</c:v>
                </c:pt>
                <c:pt idx="1">
                  <c:v>34.221011838772213</c:v>
                </c:pt>
                <c:pt idx="2">
                  <c:v>67.53525367578446</c:v>
                </c:pt>
                <c:pt idx="3">
                  <c:v>99.137965998477156</c:v>
                </c:pt>
                <c:pt idx="4">
                  <c:v>128.94504394562654</c:v>
                </c:pt>
                <c:pt idx="5">
                  <c:v>157.45119908488451</c:v>
                </c:pt>
                <c:pt idx="6">
                  <c:v>185.50534049836071</c:v>
                </c:pt>
                <c:pt idx="7">
                  <c:v>213.89857709105135</c:v>
                </c:pt>
                <c:pt idx="8">
                  <c:v>239.33341821098776</c:v>
                </c:pt>
                <c:pt idx="9">
                  <c:v>257.8245734213441</c:v>
                </c:pt>
                <c:pt idx="10">
                  <c:v>267.49408860895699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AF-46F4-826B-EE4463793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46031"/>
        <c:axId val="1"/>
      </c:scatterChart>
      <c:valAx>
        <c:axId val="893946031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394603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4799054373522457"/>
          <c:y val="0.97289448209099694"/>
          <c:w val="0.12352245862884161"/>
          <c:h val="2.516940948693126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5"/>
  <sheetViews>
    <sheetView workbookViewId="0"/>
  </sheetViews>
  <pageMargins left="0.75" right="0.75" top="1" bottom="1" header="0.4921259845" footer="0.4921259845"/>
  <pageSetup paperSize="9" orientation="landscape" horizontalDpi="200" verticalDpi="200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4"/>
  <sheetViews>
    <sheetView zoomScale="75" workbookViewId="0"/>
  </sheetViews>
  <pageMargins left="0.75" right="0.75" top="1" bottom="1" header="0.4921259845" footer="0.4921259845"/>
  <pageSetup paperSize="9" orientation="landscape" horizontalDpi="200" verticalDpi="200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7"/>
  <sheetViews>
    <sheetView workbookViewId="0"/>
  </sheetViews>
  <pageMargins left="0.75" right="0.75" top="1" bottom="1" header="0.4921259845" footer="0.4921259845"/>
  <headerFooter alignWithMargins="0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aph1"/>
  <sheetViews>
    <sheetView zoomScale="92" workbookViewId="0"/>
  </sheetViews>
  <pageMargins left="0.75" right="0.75" top="1" bottom="1" header="0.4921259845" footer="0.4921259845"/>
  <headerFooter alignWithMargins="0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aph2"/>
  <sheetViews>
    <sheetView zoomScale="92" workbookViewId="0"/>
  </sheetViews>
  <pageMargins left="0.75" right="0.75" top="1" bottom="1" header="0.4921259845" footer="0.4921259845"/>
  <headerFooter alignWithMargins="0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aph3"/>
  <sheetViews>
    <sheetView zoomScale="92" workbookViewId="0"/>
  </sheetViews>
  <pageMargins left="0.75" right="0.75" top="1" bottom="1" header="0.4921259845" footer="0.492125984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179614</xdr:colOff>
      <xdr:row>26</xdr:row>
      <xdr:rowOff>16329</xdr:rowOff>
    </xdr:from>
    <xdr:to>
      <xdr:col>19</xdr:col>
      <xdr:colOff>5443</xdr:colOff>
      <xdr:row>42</xdr:row>
      <xdr:rowOff>5443</xdr:rowOff>
    </xdr:to>
    <xdr:graphicFrame macro="">
      <xdr:nvGraphicFramePr>
        <xdr:cNvPr id="2057" name="Chart 9">
          <a:extLst>
            <a:ext uri="{FF2B5EF4-FFF2-40B4-BE49-F238E27FC236}">
              <a16:creationId xmlns:a16="http://schemas.microsoft.com/office/drawing/2014/main" id="{B5519759-5947-36EF-EC2F-8E63502550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21771</xdr:colOff>
      <xdr:row>15</xdr:row>
      <xdr:rowOff>16329</xdr:rowOff>
    </xdr:from>
    <xdr:to>
      <xdr:col>15</xdr:col>
      <xdr:colOff>234043</xdr:colOff>
      <xdr:row>31</xdr:row>
      <xdr:rowOff>16329</xdr:rowOff>
    </xdr:to>
    <xdr:graphicFrame macro="">
      <xdr:nvGraphicFramePr>
        <xdr:cNvPr id="2058" name="Chart 10">
          <a:extLst>
            <a:ext uri="{FF2B5EF4-FFF2-40B4-BE49-F238E27FC236}">
              <a16:creationId xmlns:a16="http://schemas.microsoft.com/office/drawing/2014/main" id="{BDDBAEF5-FDC6-A1FC-D668-F262D421BE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97971</xdr:colOff>
      <xdr:row>44</xdr:row>
      <xdr:rowOff>27214</xdr:rowOff>
    </xdr:from>
    <xdr:to>
      <xdr:col>12</xdr:col>
      <xdr:colOff>10886</xdr:colOff>
      <xdr:row>60</xdr:row>
      <xdr:rowOff>59871</xdr:rowOff>
    </xdr:to>
    <xdr:graphicFrame macro="">
      <xdr:nvGraphicFramePr>
        <xdr:cNvPr id="2059" name="Chart 11">
          <a:extLst>
            <a:ext uri="{FF2B5EF4-FFF2-40B4-BE49-F238E27FC236}">
              <a16:creationId xmlns:a16="http://schemas.microsoft.com/office/drawing/2014/main" id="{CA0DE033-9208-490C-480C-7D35B528E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206829</xdr:colOff>
      <xdr:row>44</xdr:row>
      <xdr:rowOff>38100</xdr:rowOff>
    </xdr:from>
    <xdr:to>
      <xdr:col>16</xdr:col>
      <xdr:colOff>250371</xdr:colOff>
      <xdr:row>60</xdr:row>
      <xdr:rowOff>76200</xdr:rowOff>
    </xdr:to>
    <xdr:graphicFrame macro="">
      <xdr:nvGraphicFramePr>
        <xdr:cNvPr id="2060" name="Chart 12">
          <a:extLst>
            <a:ext uri="{FF2B5EF4-FFF2-40B4-BE49-F238E27FC236}">
              <a16:creationId xmlns:a16="http://schemas.microsoft.com/office/drawing/2014/main" id="{3E84C9B4-50C0-77B8-4FE2-504A44FFA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446314</xdr:colOff>
      <xdr:row>44</xdr:row>
      <xdr:rowOff>43543</xdr:rowOff>
    </xdr:from>
    <xdr:to>
      <xdr:col>20</xdr:col>
      <xdr:colOff>239486</xdr:colOff>
      <xdr:row>60</xdr:row>
      <xdr:rowOff>70757</xdr:rowOff>
    </xdr:to>
    <xdr:graphicFrame macro="">
      <xdr:nvGraphicFramePr>
        <xdr:cNvPr id="2061" name="Chart 13">
          <a:extLst>
            <a:ext uri="{FF2B5EF4-FFF2-40B4-BE49-F238E27FC236}">
              <a16:creationId xmlns:a16="http://schemas.microsoft.com/office/drawing/2014/main" id="{B202B604-4E31-496D-4C07-45D2C157AC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141514</xdr:colOff>
      <xdr:row>65</xdr:row>
      <xdr:rowOff>27214</xdr:rowOff>
    </xdr:from>
    <xdr:to>
      <xdr:col>4</xdr:col>
      <xdr:colOff>65314</xdr:colOff>
      <xdr:row>81</xdr:row>
      <xdr:rowOff>70757</xdr:rowOff>
    </xdr:to>
    <xdr:graphicFrame macro="">
      <xdr:nvGraphicFramePr>
        <xdr:cNvPr id="2062" name="Chart 14">
          <a:extLst>
            <a:ext uri="{FF2B5EF4-FFF2-40B4-BE49-F238E27FC236}">
              <a16:creationId xmlns:a16="http://schemas.microsoft.com/office/drawing/2014/main" id="{FE22E495-1A6D-E02B-3521-2309AB7D4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108857</xdr:colOff>
      <xdr:row>65</xdr:row>
      <xdr:rowOff>38100</xdr:rowOff>
    </xdr:from>
    <xdr:to>
      <xdr:col>12</xdr:col>
      <xdr:colOff>10886</xdr:colOff>
      <xdr:row>81</xdr:row>
      <xdr:rowOff>81643</xdr:rowOff>
    </xdr:to>
    <xdr:graphicFrame macro="">
      <xdr:nvGraphicFramePr>
        <xdr:cNvPr id="2063" name="Chart 15">
          <a:extLst>
            <a:ext uri="{FF2B5EF4-FFF2-40B4-BE49-F238E27FC236}">
              <a16:creationId xmlns:a16="http://schemas.microsoft.com/office/drawing/2014/main" id="{7D7E1D1C-839B-5E5C-E732-6C8112A898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201386</xdr:colOff>
      <xdr:row>65</xdr:row>
      <xdr:rowOff>38100</xdr:rowOff>
    </xdr:from>
    <xdr:to>
      <xdr:col>16</xdr:col>
      <xdr:colOff>250371</xdr:colOff>
      <xdr:row>81</xdr:row>
      <xdr:rowOff>87086</xdr:rowOff>
    </xdr:to>
    <xdr:graphicFrame macro="">
      <xdr:nvGraphicFramePr>
        <xdr:cNvPr id="2064" name="Chart 16">
          <a:extLst>
            <a:ext uri="{FF2B5EF4-FFF2-40B4-BE49-F238E27FC236}">
              <a16:creationId xmlns:a16="http://schemas.microsoft.com/office/drawing/2014/main" id="{E7FCC9B5-FA11-14A1-6BC0-A4EF562CC0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38100</xdr:colOff>
      <xdr:row>65</xdr:row>
      <xdr:rowOff>38100</xdr:rowOff>
    </xdr:from>
    <xdr:to>
      <xdr:col>20</xdr:col>
      <xdr:colOff>299357</xdr:colOff>
      <xdr:row>81</xdr:row>
      <xdr:rowOff>81643</xdr:rowOff>
    </xdr:to>
    <xdr:graphicFrame macro="">
      <xdr:nvGraphicFramePr>
        <xdr:cNvPr id="2065" name="Chart 17">
          <a:extLst>
            <a:ext uri="{FF2B5EF4-FFF2-40B4-BE49-F238E27FC236}">
              <a16:creationId xmlns:a16="http://schemas.microsoft.com/office/drawing/2014/main" id="{E6442032-60F6-8FA8-0D4F-6981BFDDE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119743</xdr:colOff>
      <xdr:row>87</xdr:row>
      <xdr:rowOff>65314</xdr:rowOff>
    </xdr:from>
    <xdr:to>
      <xdr:col>4</xdr:col>
      <xdr:colOff>76200</xdr:colOff>
      <xdr:row>104</xdr:row>
      <xdr:rowOff>16329</xdr:rowOff>
    </xdr:to>
    <xdr:graphicFrame macro="">
      <xdr:nvGraphicFramePr>
        <xdr:cNvPr id="2066" name="Chart 18">
          <a:extLst>
            <a:ext uri="{FF2B5EF4-FFF2-40B4-BE49-F238E27FC236}">
              <a16:creationId xmlns:a16="http://schemas.microsoft.com/office/drawing/2014/main" id="{C7E1AFF9-D8CE-2859-377A-05B5445677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92529</xdr:colOff>
      <xdr:row>87</xdr:row>
      <xdr:rowOff>65314</xdr:rowOff>
    </xdr:from>
    <xdr:to>
      <xdr:col>12</xdr:col>
      <xdr:colOff>5443</xdr:colOff>
      <xdr:row>104</xdr:row>
      <xdr:rowOff>16329</xdr:rowOff>
    </xdr:to>
    <xdr:graphicFrame macro="">
      <xdr:nvGraphicFramePr>
        <xdr:cNvPr id="2067" name="Chart 19">
          <a:extLst>
            <a:ext uri="{FF2B5EF4-FFF2-40B4-BE49-F238E27FC236}">
              <a16:creationId xmlns:a16="http://schemas.microsoft.com/office/drawing/2014/main" id="{8C1DCA9E-FB64-A255-2B6D-9704E52824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223157</xdr:colOff>
      <xdr:row>15</xdr:row>
      <xdr:rowOff>5443</xdr:rowOff>
    </xdr:from>
    <xdr:to>
      <xdr:col>19</xdr:col>
      <xdr:colOff>38100</xdr:colOff>
      <xdr:row>31</xdr:row>
      <xdr:rowOff>21771</xdr:rowOff>
    </xdr:to>
    <xdr:graphicFrame macro="">
      <xdr:nvGraphicFramePr>
        <xdr:cNvPr id="2068" name="Chart 20">
          <a:extLst>
            <a:ext uri="{FF2B5EF4-FFF2-40B4-BE49-F238E27FC236}">
              <a16:creationId xmlns:a16="http://schemas.microsoft.com/office/drawing/2014/main" id="{C4D3328F-19CF-E7FE-D076-8F13C32F2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21771</xdr:colOff>
      <xdr:row>15</xdr:row>
      <xdr:rowOff>16329</xdr:rowOff>
    </xdr:from>
    <xdr:to>
      <xdr:col>11</xdr:col>
      <xdr:colOff>16329</xdr:colOff>
      <xdr:row>41</xdr:row>
      <xdr:rowOff>27214</xdr:rowOff>
    </xdr:to>
    <xdr:graphicFrame macro="">
      <xdr:nvGraphicFramePr>
        <xdr:cNvPr id="2069" name="Chart 21">
          <a:extLst>
            <a:ext uri="{FF2B5EF4-FFF2-40B4-BE49-F238E27FC236}">
              <a16:creationId xmlns:a16="http://schemas.microsoft.com/office/drawing/2014/main" id="{7B8A743E-7B55-5A62-2F06-7C5E8A444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16329</xdr:colOff>
          <xdr:row>0</xdr:row>
          <xdr:rowOff>16329</xdr:rowOff>
        </xdr:from>
        <xdr:to>
          <xdr:col>0</xdr:col>
          <xdr:colOff>631371</xdr:colOff>
          <xdr:row>2</xdr:row>
          <xdr:rowOff>0</xdr:rowOff>
        </xdr:to>
        <xdr:sp macro="" textlink="">
          <xdr:nvSpPr>
            <xdr:cNvPr id="2070" name="CommandButton1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875184C4-E31F-3F19-26C8-3B5D47C4E0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</xdr:row>
          <xdr:rowOff>27214</xdr:rowOff>
        </xdr:from>
        <xdr:to>
          <xdr:col>13</xdr:col>
          <xdr:colOff>424543</xdr:colOff>
          <xdr:row>4</xdr:row>
          <xdr:rowOff>16329</xdr:rowOff>
        </xdr:to>
        <xdr:sp macro="" textlink="">
          <xdr:nvSpPr>
            <xdr:cNvPr id="2071" name="CommandButton2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C6E849F6-1665-53A5-CFCB-81A7C8F497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65314</xdr:rowOff>
        </xdr:from>
        <xdr:to>
          <xdr:col>13</xdr:col>
          <xdr:colOff>408214</xdr:colOff>
          <xdr:row>6</xdr:row>
          <xdr:rowOff>48986</xdr:rowOff>
        </xdr:to>
        <xdr:sp macro="" textlink="">
          <xdr:nvSpPr>
            <xdr:cNvPr id="2072" name="CommandButton3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CE46DA5D-2BD5-55CE-4B23-114A08A3A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48986</xdr:rowOff>
        </xdr:from>
        <xdr:to>
          <xdr:col>14</xdr:col>
          <xdr:colOff>108857</xdr:colOff>
          <xdr:row>13</xdr:row>
          <xdr:rowOff>32657</xdr:rowOff>
        </xdr:to>
        <xdr:sp macro="" textlink="">
          <xdr:nvSpPr>
            <xdr:cNvPr id="2075" name="CommandButton4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7B90D2B3-BF28-B52B-F502-345158AE6A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27214</xdr:colOff>
          <xdr:row>9</xdr:row>
          <xdr:rowOff>38100</xdr:rowOff>
        </xdr:from>
        <xdr:to>
          <xdr:col>14</xdr:col>
          <xdr:colOff>97971</xdr:colOff>
          <xdr:row>11</xdr:row>
          <xdr:rowOff>5443</xdr:rowOff>
        </xdr:to>
        <xdr:sp macro="" textlink="">
          <xdr:nvSpPr>
            <xdr:cNvPr id="2076" name="CommandButton5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3D2C747D-42D6-D068-87D8-C998F56ED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81643</xdr:rowOff>
        </xdr:from>
        <xdr:to>
          <xdr:col>13</xdr:col>
          <xdr:colOff>446314</xdr:colOff>
          <xdr:row>8</xdr:row>
          <xdr:rowOff>70757</xdr:rowOff>
        </xdr:to>
        <xdr:sp macro="" textlink="">
          <xdr:nvSpPr>
            <xdr:cNvPr id="2077" name="Btn_Formes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C5CF8DD4-E271-1B3A-37C2-7B53C8355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239486</xdr:colOff>
      <xdr:row>26</xdr:row>
      <xdr:rowOff>38100</xdr:rowOff>
    </xdr:from>
    <xdr:to>
      <xdr:col>15</xdr:col>
      <xdr:colOff>234043</xdr:colOff>
      <xdr:row>42</xdr:row>
      <xdr:rowOff>43543</xdr:rowOff>
    </xdr:to>
    <xdr:graphicFrame macro="">
      <xdr:nvGraphicFramePr>
        <xdr:cNvPr id="2056" name="Chart 8">
          <a:extLst>
            <a:ext uri="{FF2B5EF4-FFF2-40B4-BE49-F238E27FC236}">
              <a16:creationId xmlns:a16="http://schemas.microsoft.com/office/drawing/2014/main" id="{9E1DB3D1-6897-4D31-A9C6-D748D3679F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435429</xdr:colOff>
      <xdr:row>15</xdr:row>
      <xdr:rowOff>16329</xdr:rowOff>
    </xdr:from>
    <xdr:to>
      <xdr:col>20</xdr:col>
      <xdr:colOff>272143</xdr:colOff>
      <xdr:row>24</xdr:row>
      <xdr:rowOff>87086</xdr:rowOff>
    </xdr:to>
    <xdr:graphicFrame macro="">
      <xdr:nvGraphicFramePr>
        <xdr:cNvPr id="2078" name="Chart 30">
          <a:extLst>
            <a:ext uri="{FF2B5EF4-FFF2-40B4-BE49-F238E27FC236}">
              <a16:creationId xmlns:a16="http://schemas.microsoft.com/office/drawing/2014/main" id="{064C7036-B213-581F-4666-C6EC2AED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375557</xdr:colOff>
      <xdr:row>25</xdr:row>
      <xdr:rowOff>38100</xdr:rowOff>
    </xdr:from>
    <xdr:to>
      <xdr:col>20</xdr:col>
      <xdr:colOff>315686</xdr:colOff>
      <xdr:row>34</xdr:row>
      <xdr:rowOff>16329</xdr:rowOff>
    </xdr:to>
    <xdr:graphicFrame macro="">
      <xdr:nvGraphicFramePr>
        <xdr:cNvPr id="2079" name="Chart 31">
          <a:extLst>
            <a:ext uri="{FF2B5EF4-FFF2-40B4-BE49-F238E27FC236}">
              <a16:creationId xmlns:a16="http://schemas.microsoft.com/office/drawing/2014/main" id="{22FA05D6-167C-EB56-A3C3-E567DE020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261257</xdr:colOff>
      <xdr:row>1</xdr:row>
      <xdr:rowOff>43543</xdr:rowOff>
    </xdr:from>
    <xdr:to>
      <xdr:col>13</xdr:col>
      <xdr:colOff>32657</xdr:colOff>
      <xdr:row>24</xdr:row>
      <xdr:rowOff>59871</xdr:rowOff>
    </xdr:to>
    <xdr:graphicFrame macro="">
      <xdr:nvGraphicFramePr>
        <xdr:cNvPr id="10241" name="Chart 1">
          <a:extLst>
            <a:ext uri="{FF2B5EF4-FFF2-40B4-BE49-F238E27FC236}">
              <a16:creationId xmlns:a16="http://schemas.microsoft.com/office/drawing/2014/main" id="{612FA340-97D5-7D44-C315-ECC3ADE6C5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5443</xdr:colOff>
          <xdr:row>16</xdr:row>
          <xdr:rowOff>5443</xdr:rowOff>
        </xdr:from>
        <xdr:to>
          <xdr:col>0</xdr:col>
          <xdr:colOff>658586</xdr:colOff>
          <xdr:row>18</xdr:row>
          <xdr:rowOff>16329</xdr:rowOff>
        </xdr:to>
        <xdr:sp macro="" textlink="">
          <xdr:nvSpPr>
            <xdr:cNvPr id="10243" name="CommandButton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A057568A-CCA7-7763-5262-4C2477142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239486</xdr:colOff>
      <xdr:row>0</xdr:row>
      <xdr:rowOff>27214</xdr:rowOff>
    </xdr:from>
    <xdr:to>
      <xdr:col>13</xdr:col>
      <xdr:colOff>27214</xdr:colOff>
      <xdr:row>23</xdr:row>
      <xdr:rowOff>65314</xdr:rowOff>
    </xdr:to>
    <xdr:graphicFrame macro="">
      <xdr:nvGraphicFramePr>
        <xdr:cNvPr id="16385" name="Chart 1">
          <a:extLst>
            <a:ext uri="{FF2B5EF4-FFF2-40B4-BE49-F238E27FC236}">
              <a16:creationId xmlns:a16="http://schemas.microsoft.com/office/drawing/2014/main" id="{98769B80-7A4C-F05D-29C3-C5CA7B59A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0</xdr:row>
      <xdr:rowOff>76200</xdr:rowOff>
    </xdr:from>
    <xdr:to>
      <xdr:col>11</xdr:col>
      <xdr:colOff>375557</xdr:colOff>
      <xdr:row>24</xdr:row>
      <xdr:rowOff>65314</xdr:rowOff>
    </xdr:to>
    <xdr:graphicFrame macro="">
      <xdr:nvGraphicFramePr>
        <xdr:cNvPr id="15361" name="Chart 1">
          <a:extLst>
            <a:ext uri="{FF2B5EF4-FFF2-40B4-BE49-F238E27FC236}">
              <a16:creationId xmlns:a16="http://schemas.microsoft.com/office/drawing/2014/main" id="{AD73563E-899D-7680-C572-9F2FA6B11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10886</xdr:colOff>
          <xdr:row>25</xdr:row>
          <xdr:rowOff>87086</xdr:rowOff>
        </xdr:from>
        <xdr:to>
          <xdr:col>1</xdr:col>
          <xdr:colOff>136071</xdr:colOff>
          <xdr:row>28</xdr:row>
          <xdr:rowOff>5443</xdr:rowOff>
        </xdr:to>
        <xdr:sp macro="" textlink="">
          <xdr:nvSpPr>
            <xdr:cNvPr id="15379" name="CommandButton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EE354081-DE21-E2D0-7B83-B9AF8BB14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6116300" cy="98298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889FAE-701A-F63C-B225-31411817600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16116300" cy="98298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8721BF-B0DF-8B3B-5BC7-0A1D2982DA2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16116300" cy="98298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10C17D-82D1-59F3-DF3C-EDD1B9522B7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16130380" cy="983559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ACD8D2-4A2E-B12F-D55A-2CA65FC124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16130380" cy="983559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4E985A-DF5B-5B39-3B08-804F5427B16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16130380" cy="983559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441173-181B-16B3-59BF-DE9697FB99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Docs%20Internet/FoilSim/Foil.html" TargetMode="Externa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J87"/>
  <sheetViews>
    <sheetView tabSelected="1" zoomScale="75" workbookViewId="0">
      <pane ySplit="15" topLeftCell="A67" activePane="bottomLeft" state="frozen"/>
      <selection pane="bottomLeft" activeCell="X30" sqref="X30"/>
    </sheetView>
  </sheetViews>
  <sheetFormatPr defaultColWidth="11.3828125" defaultRowHeight="12.45" x14ac:dyDescent="0.3"/>
  <cols>
    <col min="1" max="1" width="22.69140625" style="13" bestFit="1" customWidth="1"/>
    <col min="2" max="2" width="6.53515625" style="13" bestFit="1" customWidth="1"/>
    <col min="3" max="3" width="6.15234375" style="13" bestFit="1" customWidth="1"/>
    <col min="4" max="5" width="6" style="13" customWidth="1"/>
    <col min="6" max="6" width="6.69140625" style="13" bestFit="1" customWidth="1"/>
    <col min="7" max="10" width="6.3046875" style="13" bestFit="1" customWidth="1"/>
    <col min="11" max="11" width="6" style="13" bestFit="1" customWidth="1"/>
    <col min="12" max="12" width="6.3046875" style="13" bestFit="1" customWidth="1"/>
    <col min="13" max="13" width="5.69140625" style="13" customWidth="1"/>
    <col min="14" max="18" width="11.3828125" style="13"/>
    <col min="19" max="19" width="12.84375" style="13" bestFit="1" customWidth="1"/>
    <col min="20" max="25" width="11.3828125" style="13"/>
    <col min="26" max="36" width="4" style="13" customWidth="1"/>
    <col min="37" max="16384" width="11.3828125" style="13"/>
  </cols>
  <sheetData>
    <row r="1" spans="1:36" ht="12.9" thickBot="1" x14ac:dyDescent="0.35"/>
    <row r="2" spans="1:36" ht="12.9" thickBot="1" x14ac:dyDescent="0.35">
      <c r="E2" s="218" t="s">
        <v>15</v>
      </c>
      <c r="F2" s="219"/>
      <c r="G2" s="220"/>
      <c r="H2" s="14"/>
      <c r="I2" s="14"/>
      <c r="J2" s="218" t="s">
        <v>16</v>
      </c>
      <c r="K2" s="219"/>
      <c r="L2" s="220"/>
      <c r="O2" s="13" t="s">
        <v>211</v>
      </c>
      <c r="P2" s="110" t="s">
        <v>6</v>
      </c>
      <c r="Q2" s="111" t="s">
        <v>7</v>
      </c>
      <c r="R2" s="111" t="s">
        <v>8</v>
      </c>
      <c r="S2" s="112" t="s">
        <v>9</v>
      </c>
      <c r="Y2" s="13" t="s">
        <v>30</v>
      </c>
      <c r="Z2" s="13">
        <v>0</v>
      </c>
      <c r="AA2" s="13">
        <v>0.1</v>
      </c>
      <c r="AB2" s="13">
        <v>0.2</v>
      </c>
      <c r="AC2" s="13">
        <v>0.3</v>
      </c>
      <c r="AD2" s="13">
        <v>0.4</v>
      </c>
      <c r="AE2" s="13">
        <v>0.5</v>
      </c>
      <c r="AF2" s="13">
        <v>0.6</v>
      </c>
      <c r="AG2" s="13">
        <v>0.7</v>
      </c>
      <c r="AH2" s="13">
        <v>0.8</v>
      </c>
      <c r="AI2" s="13">
        <v>0.9</v>
      </c>
      <c r="AJ2" s="13">
        <v>1</v>
      </c>
    </row>
    <row r="3" spans="1:36" x14ac:dyDescent="0.3">
      <c r="A3" s="15" t="s">
        <v>0</v>
      </c>
      <c r="B3" s="9">
        <v>100</v>
      </c>
      <c r="E3" s="16"/>
      <c r="F3" s="17" t="s">
        <v>30</v>
      </c>
      <c r="G3" s="18" t="s">
        <v>44</v>
      </c>
      <c r="J3" s="16"/>
      <c r="K3" s="17" t="s">
        <v>30</v>
      </c>
      <c r="L3" s="18" t="s">
        <v>46</v>
      </c>
      <c r="O3" s="57" t="s">
        <v>44</v>
      </c>
      <c r="P3" s="101">
        <v>0.40000000596046448</v>
      </c>
      <c r="Q3" s="101">
        <v>0.69999998807907104</v>
      </c>
      <c r="R3" s="101">
        <v>0.69999998807907104</v>
      </c>
      <c r="S3" s="101">
        <v>0.69999998807907104</v>
      </c>
      <c r="Y3" s="13" t="s">
        <v>214</v>
      </c>
      <c r="Z3" s="13">
        <f t="shared" ref="Z3:AJ3" si="0">Z$2^$R$11</f>
        <v>0</v>
      </c>
      <c r="AA3" s="13">
        <f t="shared" si="0"/>
        <v>0.31622776601683794</v>
      </c>
      <c r="AB3" s="13">
        <f t="shared" si="0"/>
        <v>0.44721359549995793</v>
      </c>
      <c r="AC3" s="13">
        <f t="shared" si="0"/>
        <v>0.54772255750516607</v>
      </c>
      <c r="AD3" s="13">
        <f t="shared" si="0"/>
        <v>0.63245553203367588</v>
      </c>
      <c r="AE3" s="13">
        <f t="shared" si="0"/>
        <v>0.70710678118654757</v>
      </c>
      <c r="AF3" s="13">
        <f t="shared" si="0"/>
        <v>0.7745966692414834</v>
      </c>
      <c r="AG3" s="13">
        <f t="shared" si="0"/>
        <v>0.83666002653407556</v>
      </c>
      <c r="AH3" s="13">
        <f t="shared" si="0"/>
        <v>0.89442719099991586</v>
      </c>
      <c r="AI3" s="13">
        <f t="shared" si="0"/>
        <v>0.94868329805051377</v>
      </c>
      <c r="AJ3" s="13">
        <f t="shared" si="0"/>
        <v>1</v>
      </c>
    </row>
    <row r="4" spans="1:36" ht="12.9" thickBot="1" x14ac:dyDescent="0.35">
      <c r="A4" s="19" t="s">
        <v>73</v>
      </c>
      <c r="B4" s="10">
        <v>14</v>
      </c>
      <c r="E4" s="21" t="s">
        <v>5</v>
      </c>
      <c r="F4" s="22">
        <f>0</f>
        <v>0</v>
      </c>
      <c r="G4" s="23">
        <f>'Données Générales'!B5</f>
        <v>12</v>
      </c>
      <c r="J4" s="21" t="s">
        <v>5</v>
      </c>
      <c r="K4" s="22">
        <f>0</f>
        <v>0</v>
      </c>
      <c r="L4" s="23">
        <f>'Données Générales'!B11</f>
        <v>0.5</v>
      </c>
      <c r="O4" s="108" t="s">
        <v>46</v>
      </c>
      <c r="P4" s="109">
        <v>0</v>
      </c>
      <c r="Q4" s="109">
        <v>0.10000000149011612</v>
      </c>
      <c r="R4" s="109">
        <v>0.10000000149011612</v>
      </c>
      <c r="S4" s="109">
        <v>0.10000000149011612</v>
      </c>
      <c r="Y4" s="13" t="s">
        <v>241</v>
      </c>
      <c r="Z4" s="13">
        <f>$AJ$7*Z2^3+$AJ$8*Z2^2+$AJ$9*Z2+1</f>
        <v>1</v>
      </c>
      <c r="AA4" s="13">
        <f t="shared" ref="AA4:AJ4" si="1">$AJ$7*AA2^3+$AJ$8*AA2^2+$AJ$9*AA2+1</f>
        <v>1.0071999998390675</v>
      </c>
      <c r="AB4" s="13">
        <f t="shared" si="1"/>
        <v>1.0127999997138977</v>
      </c>
      <c r="AC4" s="13">
        <f t="shared" si="1"/>
        <v>1.0167999996244907</v>
      </c>
      <c r="AD4" s="13">
        <f t="shared" si="1"/>
        <v>1.0191999995708465</v>
      </c>
      <c r="AE4" s="13">
        <f t="shared" si="1"/>
        <v>1.0199999995529652</v>
      </c>
      <c r="AF4" s="13">
        <f t="shared" si="1"/>
        <v>1.0191999995708465</v>
      </c>
      <c r="AG4" s="13">
        <f t="shared" si="1"/>
        <v>1.0167999996244907</v>
      </c>
      <c r="AH4" s="13">
        <f t="shared" si="1"/>
        <v>1.0127999997138977</v>
      </c>
      <c r="AI4" s="13">
        <f t="shared" si="1"/>
        <v>1.0071999998390675</v>
      </c>
      <c r="AJ4" s="13">
        <f t="shared" si="1"/>
        <v>1</v>
      </c>
    </row>
    <row r="5" spans="1:36" x14ac:dyDescent="0.3">
      <c r="A5" s="19" t="s">
        <v>1</v>
      </c>
      <c r="B5" s="10">
        <v>12</v>
      </c>
      <c r="E5" s="24"/>
      <c r="F5" s="25"/>
      <c r="G5" s="26"/>
      <c r="J5" s="24"/>
      <c r="K5" s="25"/>
      <c r="L5" s="26"/>
      <c r="Y5" s="13" t="s">
        <v>244</v>
      </c>
      <c r="Z5" s="13">
        <f>$AJ$11*Z2^3+$AJ$12*Z2^2+$AJ$13*Z2+1</f>
        <v>1</v>
      </c>
      <c r="AA5" s="13">
        <f t="shared" ref="AA5:AJ5" si="2">$AJ$11*AA2^3+$AJ$12*AA2^2+$AJ$13*AA2+1</f>
        <v>1</v>
      </c>
      <c r="AB5" s="13">
        <f t="shared" si="2"/>
        <v>1</v>
      </c>
      <c r="AC5" s="13">
        <f t="shared" si="2"/>
        <v>1</v>
      </c>
      <c r="AD5" s="13">
        <f t="shared" si="2"/>
        <v>1</v>
      </c>
      <c r="AE5" s="13">
        <f t="shared" si="2"/>
        <v>1</v>
      </c>
      <c r="AF5" s="13">
        <f t="shared" si="2"/>
        <v>1</v>
      </c>
      <c r="AG5" s="13">
        <f t="shared" si="2"/>
        <v>1</v>
      </c>
      <c r="AH5" s="13">
        <f t="shared" si="2"/>
        <v>1</v>
      </c>
      <c r="AI5" s="13">
        <f t="shared" si="2"/>
        <v>1</v>
      </c>
      <c r="AJ5" s="13">
        <f t="shared" si="2"/>
        <v>1</v>
      </c>
    </row>
    <row r="6" spans="1:36" ht="12.9" thickBot="1" x14ac:dyDescent="0.35">
      <c r="A6" s="19" t="s">
        <v>12</v>
      </c>
      <c r="B6" s="27">
        <f>B4*2/B3</f>
        <v>0.28000000000000003</v>
      </c>
      <c r="E6" s="28" t="s">
        <v>6</v>
      </c>
      <c r="F6" s="39">
        <v>0.25</v>
      </c>
      <c r="G6" s="40">
        <v>1</v>
      </c>
      <c r="J6" s="28" t="s">
        <v>6</v>
      </c>
      <c r="K6" s="39">
        <v>0.25</v>
      </c>
      <c r="L6" s="40">
        <v>0.80000001192092896</v>
      </c>
      <c r="V6" s="200">
        <f>1+R14</f>
        <v>1.0199999995529652</v>
      </c>
      <c r="W6" s="200">
        <f>1+S14</f>
        <v>1</v>
      </c>
    </row>
    <row r="7" spans="1:36" ht="12.9" thickBot="1" x14ac:dyDescent="0.35">
      <c r="A7" s="19"/>
      <c r="B7" s="20"/>
      <c r="E7" s="29"/>
      <c r="F7" s="22">
        <f>F6*F18</f>
        <v>25</v>
      </c>
      <c r="G7" s="23">
        <f>G6*'Données Générales'!B4</f>
        <v>14</v>
      </c>
      <c r="J7" s="29"/>
      <c r="K7" s="22">
        <f>K6*'Données Générales'!$B$9</f>
        <v>24.750000005587935</v>
      </c>
      <c r="L7" s="23">
        <f>-L6*'Données Générales'!$B$10</f>
        <v>-4.3200001406669628</v>
      </c>
      <c r="O7" s="13" t="s">
        <v>212</v>
      </c>
      <c r="P7" s="110" t="s">
        <v>6</v>
      </c>
      <c r="Q7" s="111" t="s">
        <v>7</v>
      </c>
      <c r="R7" s="111" t="s">
        <v>8</v>
      </c>
      <c r="S7" s="112" t="s">
        <v>9</v>
      </c>
      <c r="V7" s="13" t="s">
        <v>241</v>
      </c>
      <c r="W7" s="13" t="s">
        <v>244</v>
      </c>
      <c r="Z7" s="13">
        <v>1</v>
      </c>
      <c r="AA7" s="13">
        <v>1</v>
      </c>
      <c r="AB7" s="13">
        <v>1</v>
      </c>
      <c r="AD7" s="13">
        <f t="array" ref="AD7:AF9">MINVERSE(Z7:AB9)</f>
        <v>4</v>
      </c>
      <c r="AE7" s="13">
        <v>0</v>
      </c>
      <c r="AF7" s="13">
        <v>-4</v>
      </c>
      <c r="AH7" s="13">
        <v>0</v>
      </c>
      <c r="AJ7" s="13">
        <f t="array" ref="AJ7:AJ9">MMULT(AD7:AF9,AH7:AH9)</f>
        <v>0</v>
      </c>
    </row>
    <row r="8" spans="1:36" x14ac:dyDescent="0.3">
      <c r="A8" s="19" t="s">
        <v>45</v>
      </c>
      <c r="B8" s="11">
        <v>9.9999997764825821E-3</v>
      </c>
      <c r="E8" s="24"/>
      <c r="F8" s="25"/>
      <c r="G8" s="26"/>
      <c r="J8" s="24"/>
      <c r="K8" s="25"/>
      <c r="L8" s="26"/>
      <c r="O8" s="57" t="s">
        <v>44</v>
      </c>
      <c r="P8" s="101">
        <v>0.30000001192092896</v>
      </c>
      <c r="Q8" s="101">
        <v>0.75</v>
      </c>
      <c r="R8" s="101">
        <v>0.89999997615814209</v>
      </c>
      <c r="S8" s="195">
        <v>1</v>
      </c>
      <c r="Z8" s="13">
        <f>R13^3</f>
        <v>0.125</v>
      </c>
      <c r="AA8" s="13">
        <f>R13^2</f>
        <v>0.25</v>
      </c>
      <c r="AB8" s="200">
        <f>R13</f>
        <v>0.5</v>
      </c>
      <c r="AD8" s="13">
        <v>-4</v>
      </c>
      <c r="AE8" s="13">
        <v>-4</v>
      </c>
      <c r="AF8" s="13">
        <v>6</v>
      </c>
      <c r="AH8" s="200">
        <f>V6-1</f>
        <v>1.9999999552965164E-2</v>
      </c>
      <c r="AJ8" s="13">
        <v>-7.9999998211860657E-2</v>
      </c>
    </row>
    <row r="9" spans="1:36" ht="12.9" thickBot="1" x14ac:dyDescent="0.35">
      <c r="A9" s="19" t="s">
        <v>13</v>
      </c>
      <c r="B9" s="27">
        <f>B3-B3*B8</f>
        <v>99.000000022351742</v>
      </c>
      <c r="E9" s="28" t="s">
        <v>7</v>
      </c>
      <c r="F9" s="39">
        <v>0.5</v>
      </c>
      <c r="G9" s="40">
        <v>0.92000001668930054</v>
      </c>
      <c r="J9" s="28" t="s">
        <v>7</v>
      </c>
      <c r="K9" s="39">
        <v>0.44999998807907104</v>
      </c>
      <c r="L9" s="40">
        <v>0.94999998807907104</v>
      </c>
      <c r="O9" s="108" t="s">
        <v>46</v>
      </c>
      <c r="P9" s="109">
        <v>0</v>
      </c>
      <c r="Q9" s="109">
        <v>0.15000000596046448</v>
      </c>
      <c r="R9" s="109">
        <v>0.40000000596046448</v>
      </c>
      <c r="S9" s="196">
        <v>0.69999998807907104</v>
      </c>
      <c r="Z9" s="13">
        <f>3*R13^2</f>
        <v>0.75</v>
      </c>
      <c r="AA9" s="13">
        <f>2*R13</f>
        <v>1</v>
      </c>
      <c r="AB9" s="13">
        <f>1</f>
        <v>1</v>
      </c>
      <c r="AD9" s="13">
        <v>1</v>
      </c>
      <c r="AE9" s="13">
        <v>4</v>
      </c>
      <c r="AF9" s="13">
        <v>-2</v>
      </c>
      <c r="AH9" s="13">
        <f>0</f>
        <v>0</v>
      </c>
      <c r="AJ9" s="13">
        <v>7.9999998211860657E-2</v>
      </c>
    </row>
    <row r="10" spans="1:36" ht="12.9" thickBot="1" x14ac:dyDescent="0.35">
      <c r="A10" s="19" t="s">
        <v>14</v>
      </c>
      <c r="B10" s="10">
        <v>5.4000000953674316</v>
      </c>
      <c r="E10" s="29"/>
      <c r="F10" s="22">
        <f>F9*F18</f>
        <v>50</v>
      </c>
      <c r="G10" s="23">
        <f>G9*'Données Générales'!B4</f>
        <v>12.880000233650208</v>
      </c>
      <c r="J10" s="29"/>
      <c r="K10" s="22">
        <f>K9*'Données Générales'!$B$9</f>
        <v>44.54999882988632</v>
      </c>
      <c r="L10" s="23">
        <f>-L9*'Données Générales'!$B$10</f>
        <v>-5.1300000262260426</v>
      </c>
    </row>
    <row r="11" spans="1:36" ht="12.9" thickBot="1" x14ac:dyDescent="0.35">
      <c r="A11" s="19" t="s">
        <v>75</v>
      </c>
      <c r="B11" s="10">
        <v>0.5</v>
      </c>
      <c r="E11" s="28"/>
      <c r="F11" s="30"/>
      <c r="G11" s="31"/>
      <c r="J11" s="28"/>
      <c r="K11" s="30"/>
      <c r="L11" s="31"/>
      <c r="P11" s="216" t="s">
        <v>213</v>
      </c>
      <c r="Q11" s="217"/>
      <c r="R11" s="203">
        <v>0.5</v>
      </c>
      <c r="S11" s="112" t="s">
        <v>215</v>
      </c>
      <c r="Z11" s="13">
        <v>1</v>
      </c>
      <c r="AA11" s="13">
        <v>1</v>
      </c>
      <c r="AB11" s="13">
        <v>1</v>
      </c>
      <c r="AD11" s="13">
        <f t="array" ref="AD11:AF13">MINVERSE(Z11:AB13)</f>
        <v>1.0203040501463623</v>
      </c>
      <c r="AE11" s="13">
        <v>9998.9801429847048</v>
      </c>
      <c r="AF11" s="13">
        <v>-101.01010324504719</v>
      </c>
      <c r="AH11" s="200">
        <v>0</v>
      </c>
      <c r="AJ11" s="13">
        <f t="array" ref="AJ11:AJ13">MMULT(AD11:AF13,AH11:AH13)</f>
        <v>0</v>
      </c>
    </row>
    <row r="12" spans="1:36" x14ac:dyDescent="0.3">
      <c r="A12" s="19" t="s">
        <v>74</v>
      </c>
      <c r="B12" s="10">
        <v>0</v>
      </c>
      <c r="E12" s="28" t="s">
        <v>8</v>
      </c>
      <c r="F12" s="39">
        <v>0.67000001668930054</v>
      </c>
      <c r="G12" s="40">
        <v>0.69999998807907104</v>
      </c>
      <c r="J12" s="28" t="s">
        <v>8</v>
      </c>
      <c r="K12" s="39">
        <v>0.55000001192092896</v>
      </c>
      <c r="L12" s="40">
        <v>1</v>
      </c>
      <c r="P12" s="225" t="s">
        <v>245</v>
      </c>
      <c r="Q12" s="201"/>
      <c r="R12" s="201" t="s">
        <v>242</v>
      </c>
      <c r="S12" s="202" t="s">
        <v>243</v>
      </c>
      <c r="Z12" s="13">
        <f>S13^3</f>
        <v>9.9999993294477602E-7</v>
      </c>
      <c r="AA12" s="13">
        <f>S13^2</f>
        <v>9.9999995529651692E-5</v>
      </c>
      <c r="AB12" s="200">
        <f>S13</f>
        <v>9.9999997764825821E-3</v>
      </c>
      <c r="AD12" s="13">
        <v>-2.0406080546815794E-2</v>
      </c>
      <c r="AE12" s="13">
        <v>-10199.980045424652</v>
      </c>
      <c r="AF12" s="13">
        <v>102.02020425492015</v>
      </c>
      <c r="AH12" s="200">
        <f>W6-1</f>
        <v>0</v>
      </c>
      <c r="AJ12" s="13">
        <v>0</v>
      </c>
    </row>
    <row r="13" spans="1:36" ht="12.9" thickBot="1" x14ac:dyDescent="0.35">
      <c r="A13" s="32" t="s">
        <v>47</v>
      </c>
      <c r="B13" s="12">
        <v>8</v>
      </c>
      <c r="E13" s="28"/>
      <c r="F13" s="33">
        <f>F12*F18</f>
        <v>67.000001668930054</v>
      </c>
      <c r="G13" s="34">
        <f>G12*'Données Générales'!B4</f>
        <v>9.7999998331069946</v>
      </c>
      <c r="J13" s="28"/>
      <c r="K13" s="33">
        <f>K12*'Données Générales'!$B$9</f>
        <v>54.450001192465422</v>
      </c>
      <c r="L13" s="34">
        <f>-L12*'Données Générales'!$B$10</f>
        <v>-5.4000000953674316</v>
      </c>
      <c r="P13" s="226"/>
      <c r="Q13" s="17" t="s">
        <v>239</v>
      </c>
      <c r="R13" s="204">
        <v>0.5</v>
      </c>
      <c r="S13" s="205">
        <v>9.9999997764825821E-3</v>
      </c>
      <c r="Z13" s="13">
        <f>3*S13^2</f>
        <v>2.9999998658895508E-4</v>
      </c>
      <c r="AA13" s="13">
        <f>2*S13</f>
        <v>1.9999999552965164E-2</v>
      </c>
      <c r="AB13" s="13">
        <f>1</f>
        <v>1</v>
      </c>
      <c r="AD13" s="13">
        <v>1.0203040045352175E-4</v>
      </c>
      <c r="AE13" s="13">
        <v>200.99990243994802</v>
      </c>
      <c r="AF13" s="13">
        <v>-1.0101010098729544</v>
      </c>
      <c r="AH13" s="200">
        <v>0</v>
      </c>
      <c r="AJ13" s="13">
        <v>0</v>
      </c>
    </row>
    <row r="14" spans="1:36" ht="12.9" thickBot="1" x14ac:dyDescent="0.35">
      <c r="D14" s="13" t="s">
        <v>235</v>
      </c>
      <c r="E14" s="24"/>
      <c r="F14" s="25"/>
      <c r="G14" s="26"/>
      <c r="J14" s="24"/>
      <c r="K14" s="25"/>
      <c r="L14" s="26"/>
      <c r="P14" s="227"/>
      <c r="Q14" s="198" t="s">
        <v>240</v>
      </c>
      <c r="R14" s="206">
        <v>1.9999999552965164E-2</v>
      </c>
      <c r="S14" s="207">
        <v>0</v>
      </c>
    </row>
    <row r="15" spans="1:36" ht="12.9" thickBot="1" x14ac:dyDescent="0.35">
      <c r="A15" s="13" t="s">
        <v>77</v>
      </c>
      <c r="B15" s="37">
        <f>Resultats!D8</f>
        <v>3.6301212310791016</v>
      </c>
      <c r="C15" s="13" t="s">
        <v>78</v>
      </c>
      <c r="D15" s="37">
        <f>B18</f>
        <v>2.45361328125E-2</v>
      </c>
      <c r="E15" s="29" t="s">
        <v>9</v>
      </c>
      <c r="F15" s="41">
        <v>0.80000001192092896</v>
      </c>
      <c r="G15" s="42">
        <v>0.40000000596046448</v>
      </c>
      <c r="J15" s="29" t="s">
        <v>9</v>
      </c>
      <c r="K15" s="41">
        <v>0.80000001192092896</v>
      </c>
      <c r="L15" s="42">
        <v>1</v>
      </c>
    </row>
    <row r="16" spans="1:36" x14ac:dyDescent="0.3">
      <c r="A16" s="13" t="s">
        <v>79</v>
      </c>
      <c r="B16" s="62">
        <f>Resultats!D4</f>
        <v>17207.21875</v>
      </c>
      <c r="F16" s="35">
        <f>F15*F18</f>
        <v>80.000001192092896</v>
      </c>
      <c r="G16" s="35">
        <f>'Données Générales'!B4*'Données Générales'!G15</f>
        <v>5.6000000834465027</v>
      </c>
      <c r="K16" s="35">
        <f>K15*'Données Générales'!$B$9</f>
        <v>79.200001198053357</v>
      </c>
      <c r="L16" s="35">
        <f>-L15*'Données Générales'!$B$10</f>
        <v>-5.4000000953674316</v>
      </c>
    </row>
    <row r="17" spans="1:15" x14ac:dyDescent="0.3">
      <c r="A17" s="13" t="s">
        <v>114</v>
      </c>
      <c r="B17" s="75"/>
      <c r="C17" s="13" t="s">
        <v>78</v>
      </c>
    </row>
    <row r="18" spans="1:15" x14ac:dyDescent="0.3">
      <c r="A18" s="13" t="s">
        <v>115</v>
      </c>
      <c r="B18" s="76">
        <v>2.45361328125E-2</v>
      </c>
      <c r="E18" s="35" t="s">
        <v>10</v>
      </c>
      <c r="F18" s="35">
        <f>'Données Générales'!B3</f>
        <v>100</v>
      </c>
      <c r="G18" s="35">
        <f>0</f>
        <v>0</v>
      </c>
      <c r="J18" s="35" t="s">
        <v>10</v>
      </c>
      <c r="K18" s="35">
        <f>'Données Générales'!$B$9</f>
        <v>99.000000022351742</v>
      </c>
      <c r="L18" s="35">
        <f>B12</f>
        <v>0</v>
      </c>
    </row>
    <row r="19" spans="1:15" ht="12.9" thickBot="1" x14ac:dyDescent="0.35">
      <c r="B19" s="77">
        <v>0</v>
      </c>
    </row>
    <row r="20" spans="1:15" ht="12.9" thickBot="1" x14ac:dyDescent="0.35">
      <c r="C20" s="223" t="s">
        <v>182</v>
      </c>
      <c r="D20" s="224"/>
      <c r="E20" s="224"/>
      <c r="F20" s="94"/>
      <c r="G20" s="94"/>
      <c r="H20" s="89"/>
      <c r="I20" s="95"/>
      <c r="J20" s="95"/>
      <c r="K20" s="221" t="s">
        <v>183</v>
      </c>
      <c r="L20" s="221"/>
      <c r="M20" s="222"/>
    </row>
    <row r="21" spans="1:15" ht="12.9" thickBot="1" x14ac:dyDescent="0.35">
      <c r="A21" s="55"/>
      <c r="B21" s="43"/>
      <c r="C21" s="98" t="s">
        <v>48</v>
      </c>
      <c r="D21" s="44" t="s">
        <v>49</v>
      </c>
      <c r="E21" s="44" t="s">
        <v>50</v>
      </c>
      <c r="F21" s="44" t="s">
        <v>51</v>
      </c>
      <c r="G21" s="44" t="s">
        <v>52</v>
      </c>
      <c r="H21" s="44" t="s">
        <v>53</v>
      </c>
      <c r="I21" s="44" t="s">
        <v>54</v>
      </c>
      <c r="J21" s="44" t="s">
        <v>55</v>
      </c>
      <c r="K21" s="44" t="s">
        <v>56</v>
      </c>
      <c r="L21" s="44" t="s">
        <v>57</v>
      </c>
      <c r="M21" s="54" t="s">
        <v>69</v>
      </c>
    </row>
    <row r="22" spans="1:15" x14ac:dyDescent="0.3">
      <c r="A22" s="56"/>
      <c r="B22" s="96" t="s">
        <v>5</v>
      </c>
      <c r="C22" s="99">
        <v>0</v>
      </c>
      <c r="D22" s="45">
        <v>0</v>
      </c>
      <c r="E22" s="45">
        <v>0</v>
      </c>
      <c r="F22" s="45">
        <v>0</v>
      </c>
      <c r="G22" s="45">
        <v>0</v>
      </c>
      <c r="H22" s="45">
        <v>0</v>
      </c>
      <c r="I22" s="45">
        <v>0</v>
      </c>
      <c r="J22" s="45">
        <v>0</v>
      </c>
      <c r="K22" s="45">
        <v>0</v>
      </c>
      <c r="L22" s="45">
        <v>0</v>
      </c>
      <c r="M22" s="46">
        <v>0</v>
      </c>
    </row>
    <row r="23" spans="1:15" ht="12.9" thickBot="1" x14ac:dyDescent="0.35">
      <c r="A23" s="56"/>
      <c r="B23" s="21"/>
      <c r="C23" s="100">
        <f>'P(H1)'!C$15</f>
        <v>0.5</v>
      </c>
      <c r="D23" s="47">
        <f>'P(H1)'!D$15</f>
        <v>-1.2417417590049191</v>
      </c>
      <c r="E23" s="47">
        <f>'P(H1)'!E$15</f>
        <v>-2.6350863130002997</v>
      </c>
      <c r="F23" s="47">
        <f>'P(H1)'!F$15</f>
        <v>-3.6955143088737241</v>
      </c>
      <c r="G23" s="47">
        <f>'P(H1)'!G$15</f>
        <v>-4.4167645045914155</v>
      </c>
      <c r="H23" s="47">
        <f>'P(H1)'!H$15</f>
        <v>-4.7808712858580069</v>
      </c>
      <c r="I23" s="47">
        <f>'P(H1)'!I$15</f>
        <v>-4.7707124581508547</v>
      </c>
      <c r="J23" s="47">
        <f>'P(H1)'!J$15</f>
        <v>-4.3677739133041573</v>
      </c>
      <c r="K23" s="47">
        <f>'P(H1)'!K$15</f>
        <v>-3.5296605546195075</v>
      </c>
      <c r="L23" s="47">
        <f>'P(H1)'!L$15</f>
        <v>-2.1541482133419123</v>
      </c>
      <c r="M23" s="48">
        <f>'P(H1)'!M$15</f>
        <v>4.2818726342375157E-9</v>
      </c>
      <c r="O23" s="36"/>
    </row>
    <row r="24" spans="1:15" x14ac:dyDescent="0.3">
      <c r="A24" s="56"/>
      <c r="B24" s="57" t="s">
        <v>6</v>
      </c>
      <c r="C24" s="106">
        <f>(($P$8-$P$3)*Z$3+$P$3)*Z$4</f>
        <v>0.40000000596046448</v>
      </c>
      <c r="D24" s="106">
        <f t="shared" ref="D24:M24" si="3">(($P$8-$P$3)*AA$3+$P$3)*AA$4</f>
        <v>0.37102954724931547</v>
      </c>
      <c r="E24" s="106">
        <f t="shared" si="3"/>
        <v>0.35982621568259709</v>
      </c>
      <c r="F24" s="106">
        <f t="shared" si="3"/>
        <v>0.35102757960336622</v>
      </c>
      <c r="G24" s="106">
        <f t="shared" si="3"/>
        <v>0.34322014194762129</v>
      </c>
      <c r="H24" s="106">
        <f t="shared" si="3"/>
        <v>0.33587511855042068</v>
      </c>
      <c r="I24" s="106">
        <f t="shared" si="3"/>
        <v>0.32873311811299555</v>
      </c>
      <c r="J24" s="106">
        <f t="shared" si="3"/>
        <v>0.32164841951449114</v>
      </c>
      <c r="K24" s="106">
        <f t="shared" si="3"/>
        <v>0.31453242544287663</v>
      </c>
      <c r="L24" s="106">
        <f t="shared" si="3"/>
        <v>0.30732862986993265</v>
      </c>
      <c r="M24" s="106">
        <f t="shared" si="3"/>
        <v>0.30000001192092896</v>
      </c>
    </row>
    <row r="25" spans="1:15" x14ac:dyDescent="0.3">
      <c r="A25" s="56"/>
      <c r="B25" s="58"/>
      <c r="C25" s="102">
        <f>C24*'P(F1)'!C19</f>
        <v>4.8000000715255737</v>
      </c>
      <c r="D25" s="49">
        <f>D24*'P(F1)'!D19</f>
        <v>4.6756083520188607</v>
      </c>
      <c r="E25" s="49">
        <f>E24*'P(F1)'!E19</f>
        <v>4.6233895677128967</v>
      </c>
      <c r="F25" s="49">
        <f>F24*'P(F1)'!F19</f>
        <v>4.4720833230309376</v>
      </c>
      <c r="G25" s="49">
        <f>G24*'P(F1)'!G19</f>
        <v>4.2083478640209151</v>
      </c>
      <c r="H25" s="49">
        <f>H24*'P(F1)'!H19</f>
        <v>3.8195814370752741</v>
      </c>
      <c r="I25" s="49">
        <f>I24*'P(F1)'!I19</f>
        <v>3.292971509785255</v>
      </c>
      <c r="J25" s="49">
        <f>J24*'P(F1)'!J19</f>
        <v>2.6210831979510711</v>
      </c>
      <c r="K25" s="49">
        <f>K24*'P(F1)'!K19</f>
        <v>1.8203468278847874</v>
      </c>
      <c r="L25" s="49">
        <f>L24*'P(F1)'!L19</f>
        <v>0.94795259832366574</v>
      </c>
      <c r="M25" s="103">
        <f>M24*'P(F1)'!M19</f>
        <v>8.4365636103703526E-2</v>
      </c>
    </row>
    <row r="26" spans="1:15" x14ac:dyDescent="0.3">
      <c r="A26" s="56"/>
      <c r="B26" s="78" t="s">
        <v>118</v>
      </c>
      <c r="C26" s="107">
        <f>(($P$9-$P$4)*Z$3+$P$4)*Z$5</f>
        <v>0</v>
      </c>
      <c r="D26" s="107">
        <f t="shared" ref="D26:M26" si="4">(($P$9-$P$4)*AA$3+$P$4)*AA$5</f>
        <v>0</v>
      </c>
      <c r="E26" s="107">
        <f t="shared" si="4"/>
        <v>0</v>
      </c>
      <c r="F26" s="107">
        <f t="shared" si="4"/>
        <v>0</v>
      </c>
      <c r="G26" s="107">
        <f t="shared" si="4"/>
        <v>0</v>
      </c>
      <c r="H26" s="107">
        <f t="shared" si="4"/>
        <v>0</v>
      </c>
      <c r="I26" s="107">
        <f t="shared" si="4"/>
        <v>0</v>
      </c>
      <c r="J26" s="107">
        <f t="shared" si="4"/>
        <v>0</v>
      </c>
      <c r="K26" s="107">
        <f t="shared" si="4"/>
        <v>0</v>
      </c>
      <c r="L26" s="107">
        <f t="shared" si="4"/>
        <v>0</v>
      </c>
      <c r="M26" s="107">
        <f t="shared" si="4"/>
        <v>0</v>
      </c>
    </row>
    <row r="27" spans="1:15" ht="12.9" thickBot="1" x14ac:dyDescent="0.35">
      <c r="A27" s="56"/>
      <c r="B27" s="59"/>
      <c r="C27" s="100">
        <f>($B$13-'P(H1)'!C$15)*C26+'P(H1)'!C$15</f>
        <v>0.5</v>
      </c>
      <c r="D27" s="47">
        <f>($B$13-'P(H1)'!D$15)*D26+'P(H1)'!D$15</f>
        <v>-1.2417417590049191</v>
      </c>
      <c r="E27" s="47">
        <f>($B$13-'P(H1)'!E$15)*E26+'P(H1)'!E$15</f>
        <v>-2.6350863130002997</v>
      </c>
      <c r="F27" s="47">
        <f>($B$13-'P(H1)'!F$15)*F26+'P(H1)'!F$15</f>
        <v>-3.6955143088737241</v>
      </c>
      <c r="G27" s="47">
        <f>($B$13-'P(H1)'!G$15)*G26+'P(H1)'!G$15</f>
        <v>-4.4167645045914155</v>
      </c>
      <c r="H27" s="47">
        <f>($B$13-'P(H1)'!H$15)*H26+'P(H1)'!H$15</f>
        <v>-4.7808712858580069</v>
      </c>
      <c r="I27" s="47">
        <f>($B$13-'P(H1)'!I$15)*I26+'P(H1)'!I$15</f>
        <v>-4.7707124581508547</v>
      </c>
      <c r="J27" s="47">
        <f>($B$13-'P(H1)'!J$15)*J26+'P(H1)'!J$15</f>
        <v>-4.3677739133041573</v>
      </c>
      <c r="K27" s="47">
        <f>($B$13-'P(H1)'!K$15)*K26+'P(H1)'!K$15</f>
        <v>-3.5296605546195075</v>
      </c>
      <c r="L27" s="47">
        <f>($B$13-'P(H1)'!L$15)*L26+'P(H1)'!L$15</f>
        <v>-2.1541482133419123</v>
      </c>
      <c r="M27" s="48">
        <f>($B$13-'P(H1)'!M$15)*M26+'P(H1)'!M$15</f>
        <v>4.2818726342375157E-9</v>
      </c>
    </row>
    <row r="28" spans="1:15" x14ac:dyDescent="0.3">
      <c r="A28" s="56"/>
      <c r="B28" s="60" t="s">
        <v>7</v>
      </c>
      <c r="C28" s="106">
        <f>(($Q$8-$Q$3)*Z$3+$Q$3)*Z$4</f>
        <v>0.69999998807907104</v>
      </c>
      <c r="D28" s="106">
        <f t="shared" ref="D28:J28" si="5">(($Q$8-$Q$3)*AA$3+$Q$3)*AA$4</f>
        <v>0.72096522197152169</v>
      </c>
      <c r="E28" s="106">
        <f t="shared" si="5"/>
        <v>0.73160688959537279</v>
      </c>
      <c r="F28" s="106">
        <f t="shared" si="5"/>
        <v>0.7396062090682769</v>
      </c>
      <c r="G28" s="106">
        <f t="shared" si="5"/>
        <v>0.7456699291328619</v>
      </c>
      <c r="H28" s="106">
        <f t="shared" si="5"/>
        <v>0.75006244195039407</v>
      </c>
      <c r="I28" s="106">
        <f t="shared" si="5"/>
        <v>0.75291344320890963</v>
      </c>
      <c r="J28" s="106">
        <f t="shared" si="5"/>
        <v>0.75429579349055076</v>
      </c>
      <c r="K28" s="106">
        <f>(($Q$8-$Q$3)*AH$3+$Q$3)*AH$4</f>
        <v>0.75425379146453408</v>
      </c>
      <c r="L28" s="106">
        <f>(($Q$8-$Q$3)*AI$3+$Q$3)*AI$4</f>
        <v>0.75281569015339012</v>
      </c>
      <c r="M28" s="106">
        <f>(($Q$8-$Q$3)*AJ$3+$Q$3)*AJ$4</f>
        <v>0.75</v>
      </c>
    </row>
    <row r="29" spans="1:15" x14ac:dyDescent="0.3">
      <c r="A29" s="56"/>
      <c r="B29" s="61"/>
      <c r="C29" s="102">
        <f>C28*'P(F1)'!C$19</f>
        <v>8.3999998569488525</v>
      </c>
      <c r="D29" s="49">
        <f>D28*'P(F1)'!D$19</f>
        <v>9.0853977489292745</v>
      </c>
      <c r="E29" s="49">
        <f>E28*'P(F1)'!E$19</f>
        <v>9.400381388569631</v>
      </c>
      <c r="F29" s="49">
        <f>F28*'P(F1)'!F$19</f>
        <v>9.4225661611024467</v>
      </c>
      <c r="G29" s="49">
        <f>G28*'P(F1)'!G$19</f>
        <v>9.142932101023959</v>
      </c>
      <c r="H29" s="49">
        <f>H28*'P(F1)'!H$19</f>
        <v>8.5297315034397254</v>
      </c>
      <c r="I29" s="49">
        <f>I28*'P(F1)'!I$19</f>
        <v>7.5420527510375139</v>
      </c>
      <c r="J29" s="49">
        <f>J28*'P(F1)'!J$19</f>
        <v>6.1466866014374455</v>
      </c>
      <c r="K29" s="49">
        <f>K28*'P(F1)'!K$19</f>
        <v>4.3652208346382233</v>
      </c>
      <c r="L29" s="49">
        <f>L28*'P(F1)'!L$19</f>
        <v>2.3220537241901389</v>
      </c>
      <c r="M29" s="103">
        <f>M28*'P(F1)'!M$19</f>
        <v>0.2109140818782862</v>
      </c>
    </row>
    <row r="30" spans="1:15" x14ac:dyDescent="0.3">
      <c r="A30" s="56"/>
      <c r="B30" s="79" t="s">
        <v>118</v>
      </c>
      <c r="C30" s="107">
        <f>(($Q$9-$Q$4)*Z$3+$Q$4)*Z$5</f>
        <v>0.10000000149011612</v>
      </c>
      <c r="D30" s="107">
        <f t="shared" ref="D30:M30" si="6">(($Q$9-$Q$4)*AA$3+$Q$4)*AA$5</f>
        <v>0.11581139120460629</v>
      </c>
      <c r="E30" s="107">
        <f t="shared" si="6"/>
        <v>0.12236068326431458</v>
      </c>
      <c r="F30" s="107">
        <f t="shared" si="6"/>
        <v>0.12738613181388506</v>
      </c>
      <c r="G30" s="107">
        <f t="shared" si="6"/>
        <v>0.13162278091909646</v>
      </c>
      <c r="H30" s="107">
        <f t="shared" si="6"/>
        <v>0.13535534371045713</v>
      </c>
      <c r="I30" s="107">
        <f t="shared" si="6"/>
        <v>0.13872983841490724</v>
      </c>
      <c r="J30" s="107">
        <f t="shared" si="6"/>
        <v>0.14183300655698167</v>
      </c>
      <c r="K30" s="107">
        <f t="shared" si="6"/>
        <v>0.14472136503851304</v>
      </c>
      <c r="L30" s="107">
        <f t="shared" si="6"/>
        <v>0.14743417063358663</v>
      </c>
      <c r="M30" s="107">
        <f t="shared" si="6"/>
        <v>0.15000000596046448</v>
      </c>
    </row>
    <row r="31" spans="1:15" ht="12.75" customHeight="1" thickBot="1" x14ac:dyDescent="0.35">
      <c r="A31" s="56"/>
      <c r="B31" s="21"/>
      <c r="C31" s="100">
        <f>($B$13-'P(H1)'!C$15)*C30+'P(H1)'!C$15</f>
        <v>1.2500000111758709</v>
      </c>
      <c r="D31" s="47">
        <f>($B$13-'P(H1)'!D$15)*D30+'P(H1)'!D$15</f>
        <v>-0.17144278874085428</v>
      </c>
      <c r="E31" s="47">
        <f>($B$13-'P(H1)'!E$15)*E30+'P(H1)'!E$15</f>
        <v>-1.3337698851666229</v>
      </c>
      <c r="F31" s="47">
        <f>($B$13-'P(H1)'!F$15)*F30+'P(H1)'!F$15</f>
        <v>-2.2056679814923572</v>
      </c>
      <c r="G31" s="47">
        <f>($B$13-'P(H1)'!G$15)*G30+'P(H1)'!G$15</f>
        <v>-2.7824354304795662</v>
      </c>
      <c r="H31" s="47">
        <f>($B$13-'P(H1)'!H$15)*H30+'P(H1)'!H$15</f>
        <v>-3.0509120600415844</v>
      </c>
      <c r="I31" s="47">
        <f>($B$13-'P(H1)'!I$15)*I30+'P(H1)'!I$15</f>
        <v>-2.9990335823883436</v>
      </c>
      <c r="J31" s="47">
        <f>($B$13-'P(H1)'!J$15)*J30+'P(H1)'!J$15</f>
        <v>-2.6136153547632217</v>
      </c>
      <c r="K31" s="47">
        <f>($B$13-'P(H1)'!K$15)*K30+'P(H1)'!K$15</f>
        <v>-1.8610723407242729</v>
      </c>
      <c r="L31" s="47">
        <f>($B$13-'P(H1)'!L$15)*L30+'P(H1)'!L$15</f>
        <v>-0.65707979301733199</v>
      </c>
      <c r="M31" s="48">
        <f>($B$13-'P(H1)'!M$15)*M30+'P(H1)'!M$15</f>
        <v>1.2000000513233076</v>
      </c>
    </row>
    <row r="32" spans="1:15" x14ac:dyDescent="0.3">
      <c r="A32" s="56"/>
      <c r="B32" s="57" t="s">
        <v>8</v>
      </c>
      <c r="C32" s="106">
        <f>(($R$8-$R$3)*Z$3+$R$3)*Z$4</f>
        <v>0.69999998807907104</v>
      </c>
      <c r="D32" s="106">
        <f t="shared" ref="D32:M32" si="7">(($R$8-$R$3)*AA$3+$R$3)*AA$4</f>
        <v>0.7687409052599703</v>
      </c>
      <c r="E32" s="106">
        <f t="shared" si="7"/>
        <v>0.79954756820565231</v>
      </c>
      <c r="F32" s="106">
        <f t="shared" si="7"/>
        <v>0.82314484023000367</v>
      </c>
      <c r="G32" s="106">
        <f t="shared" si="7"/>
        <v>0.84235971546102717</v>
      </c>
      <c r="H32" s="106">
        <f t="shared" si="7"/>
        <v>0.85824976222860638</v>
      </c>
      <c r="I32" s="106">
        <f t="shared" si="7"/>
        <v>0.87133376313027866</v>
      </c>
      <c r="J32" s="106">
        <f t="shared" si="7"/>
        <v>0.88190316040775385</v>
      </c>
      <c r="K32" s="106">
        <f t="shared" si="7"/>
        <v>0.89013514868509325</v>
      </c>
      <c r="L32" s="106">
        <f t="shared" si="7"/>
        <v>0.89614274001873595</v>
      </c>
      <c r="M32" s="106">
        <f t="shared" si="7"/>
        <v>0.89999997615814209</v>
      </c>
    </row>
    <row r="33" spans="1:19" ht="12" customHeight="1" x14ac:dyDescent="0.3">
      <c r="A33" s="56"/>
      <c r="B33" s="58"/>
      <c r="C33" s="102">
        <f>C32*'P(F1)'!C$19</f>
        <v>8.3999998569488525</v>
      </c>
      <c r="D33" s="49">
        <f>D32*'P(F1)'!D$19</f>
        <v>9.687453260310896</v>
      </c>
      <c r="E33" s="49">
        <f>E32*'P(F1)'!E$19</f>
        <v>10.273347867996975</v>
      </c>
      <c r="F33" s="49">
        <f>F32*'P(F1)'!F$19</f>
        <v>10.486846408453154</v>
      </c>
      <c r="G33" s="49">
        <f>G32*'P(F1)'!G$19</f>
        <v>10.328480983609266</v>
      </c>
      <c r="H33" s="49">
        <f>H32*'P(F1)'!H$19</f>
        <v>9.7600407982901682</v>
      </c>
      <c r="I33" s="49">
        <f>I32*'P(F1)'!I$19</f>
        <v>8.7282877793764726</v>
      </c>
      <c r="J33" s="49">
        <f>J32*'P(F1)'!J$19</f>
        <v>7.1865472227528562</v>
      </c>
      <c r="K33" s="49">
        <f>K32*'P(F1)'!K$19</f>
        <v>5.151630049004094</v>
      </c>
      <c r="L33" s="49">
        <f>L32*'P(F1)'!L$19</f>
        <v>2.7641448153697072</v>
      </c>
      <c r="M33" s="103">
        <f>M32*'P(F1)'!M$19</f>
        <v>0.25309689154916531</v>
      </c>
    </row>
    <row r="34" spans="1:19" x14ac:dyDescent="0.3">
      <c r="A34" s="56"/>
      <c r="B34" s="78" t="s">
        <v>118</v>
      </c>
      <c r="C34" s="107">
        <f>(($R$9-$R$4)*Z$3+$R$4)*Z$5</f>
        <v>0.10000000149011612</v>
      </c>
      <c r="D34" s="107">
        <f t="shared" ref="D34:M34" si="8">(($R$9-$R$4)*AA$3+$R$4)*AA$5</f>
        <v>0.19486833270881576</v>
      </c>
      <c r="E34" s="107">
        <f t="shared" si="8"/>
        <v>0.23416408213930406</v>
      </c>
      <c r="F34" s="107">
        <f t="shared" si="8"/>
        <v>0.2643167711901766</v>
      </c>
      <c r="G34" s="107">
        <f t="shared" si="8"/>
        <v>0.2897366639275154</v>
      </c>
      <c r="H34" s="107">
        <f t="shared" si="8"/>
        <v>0.31213203900709402</v>
      </c>
      <c r="I34" s="107">
        <f t="shared" si="8"/>
        <v>0.33237900572527812</v>
      </c>
      <c r="J34" s="107">
        <f t="shared" si="8"/>
        <v>0.35099801319050056</v>
      </c>
      <c r="K34" s="107">
        <f t="shared" si="8"/>
        <v>0.36832816278849201</v>
      </c>
      <c r="L34" s="107">
        <f t="shared" si="8"/>
        <v>0.3846049951462151</v>
      </c>
      <c r="M34" s="107">
        <f t="shared" si="8"/>
        <v>0.40000000596046448</v>
      </c>
    </row>
    <row r="35" spans="1:19" ht="12.9" thickBot="1" x14ac:dyDescent="0.35">
      <c r="A35" s="56"/>
      <c r="B35" s="59"/>
      <c r="C35" s="100">
        <f>($B$13-'P(H1)'!C$15)*C34+'P(H1)'!C$15</f>
        <v>1.2500000111758709</v>
      </c>
      <c r="D35" s="47">
        <f>($B$13-'P(H1)'!D$15)*D34+'P(H1)'!D$15</f>
        <v>0.55918104889780751</v>
      </c>
      <c r="E35" s="47">
        <f>($B$13-'P(H1)'!E$15)*E34+'P(H1)'!E$15</f>
        <v>-0.1447310880443089</v>
      </c>
      <c r="F35" s="47">
        <f>($B$13-'P(H1)'!F$15)*F34+'P(H1)'!F$15</f>
        <v>-0.60419372934371163</v>
      </c>
      <c r="G35" s="47">
        <f>($B$13-'P(H1)'!G$15)*G34+'P(H1)'!G$15</f>
        <v>-0.81917258025751005</v>
      </c>
      <c r="H35" s="47">
        <f>($B$13-'P(H1)'!H$15)*H34+'P(H1)'!H$15</f>
        <v>-0.79155187111592751</v>
      </c>
      <c r="I35" s="47">
        <f>($B$13-'P(H1)'!I$15)*I34+'P(H1)'!I$15</f>
        <v>-0.52599574890725176</v>
      </c>
      <c r="J35" s="47">
        <f>($B$13-'P(H1)'!J$15)*J34+'P(H1)'!J$15</f>
        <v>-2.6709842145096196E-2</v>
      </c>
      <c r="K35" s="47">
        <f>($B$13-'P(H1)'!K$15)*K34+'P(H1)'!K$15</f>
        <v>0.71703813503844138</v>
      </c>
      <c r="L35" s="47">
        <f>($B$13-'P(H1)'!L$15)*L34+'P(H1)'!L$15</f>
        <v>1.7511879109644024</v>
      </c>
      <c r="M35" s="48">
        <f>($B$13-'P(H1)'!M$15)*M34+'P(H1)'!M$15</f>
        <v>3.2000000502528394</v>
      </c>
    </row>
    <row r="36" spans="1:19" x14ac:dyDescent="0.3">
      <c r="A36" s="56"/>
      <c r="B36" s="60" t="s">
        <v>9</v>
      </c>
      <c r="C36" s="106">
        <f>(($S$8-$S$3)*Z$3+$S$3)*Z$4</f>
        <v>0.69999998807907104</v>
      </c>
      <c r="D36" s="106">
        <f t="shared" ref="D36:M36" si="9">(($S$8-$S$3)*AA$3+$S$3)*AA$4</f>
        <v>0.80059137344183873</v>
      </c>
      <c r="E36" s="106">
        <f t="shared" si="9"/>
        <v>0.84484137194397491</v>
      </c>
      <c r="F36" s="106">
        <f t="shared" si="9"/>
        <v>0.87883728313467124</v>
      </c>
      <c r="G36" s="106">
        <f t="shared" si="9"/>
        <v>0.90681959862718731</v>
      </c>
      <c r="H36" s="106">
        <f t="shared" si="9"/>
        <v>0.93037467107393823</v>
      </c>
      <c r="I36" s="106">
        <f t="shared" si="9"/>
        <v>0.95028067444853437</v>
      </c>
      <c r="J36" s="106">
        <f t="shared" si="9"/>
        <v>0.96697477215696936</v>
      </c>
      <c r="K36" s="106">
        <f t="shared" si="9"/>
        <v>0.98072275616173832</v>
      </c>
      <c r="L36" s="106">
        <f t="shared" si="9"/>
        <v>0.99169414456434102</v>
      </c>
      <c r="M36" s="106">
        <f t="shared" si="9"/>
        <v>1</v>
      </c>
    </row>
    <row r="37" spans="1:19" x14ac:dyDescent="0.3">
      <c r="A37" s="56"/>
      <c r="B37" s="61"/>
      <c r="C37" s="102">
        <f>C36*'P(F1)'!C$19</f>
        <v>8.3999998569488525</v>
      </c>
      <c r="D37" s="49">
        <f>D36*'P(F1)'!D$19</f>
        <v>10.088823760722248</v>
      </c>
      <c r="E37" s="49">
        <f>E36*'P(F1)'!E$19</f>
        <v>10.855325752205717</v>
      </c>
      <c r="F37" s="49">
        <f>F36*'P(F1)'!F$19</f>
        <v>11.196366855291652</v>
      </c>
      <c r="G37" s="49">
        <f>G36*'P(F1)'!G$19</f>
        <v>11.118847219396052</v>
      </c>
      <c r="H37" s="49">
        <f>H36*'P(F1)'!H$19</f>
        <v>10.580247320777842</v>
      </c>
      <c r="I37" s="49">
        <f>I36*'P(F1)'!I$19</f>
        <v>9.5191114458474591</v>
      </c>
      <c r="J37" s="49">
        <f>J36*'P(F1)'!J$19</f>
        <v>7.8797879124321657</v>
      </c>
      <c r="K37" s="49">
        <f>K36*'P(F1)'!K$19</f>
        <v>5.6759030669086705</v>
      </c>
      <c r="L37" s="49">
        <f>L36*'P(F1)'!L$19</f>
        <v>3.0588723266035824</v>
      </c>
      <c r="M37" s="103">
        <f>M36*'P(F1)'!M$19</f>
        <v>0.28121877583771493</v>
      </c>
    </row>
    <row r="38" spans="1:19" x14ac:dyDescent="0.3">
      <c r="A38" s="56"/>
      <c r="B38" s="79" t="s">
        <v>118</v>
      </c>
      <c r="C38" s="107">
        <f>(($S$9-$S$4)*Z$3+$S$4)*Z$5</f>
        <v>0.10000000149011612</v>
      </c>
      <c r="D38" s="107">
        <f t="shared" ref="D38:M38" si="10">(($S$9-$S$4)*AA$3+$S$4)*AA$5</f>
        <v>0.28973665685927408</v>
      </c>
      <c r="E38" s="107">
        <f t="shared" si="10"/>
        <v>0.36832815279248921</v>
      </c>
      <c r="F38" s="107">
        <f t="shared" si="10"/>
        <v>0.42863352864768384</v>
      </c>
      <c r="G38" s="107">
        <f t="shared" si="10"/>
        <v>0.47947331222843198</v>
      </c>
      <c r="H38" s="107">
        <f t="shared" si="10"/>
        <v>0.52426406071900367</v>
      </c>
      <c r="I38" s="107">
        <f t="shared" si="10"/>
        <v>0.56475799264685533</v>
      </c>
      <c r="J38" s="107">
        <f t="shared" si="10"/>
        <v>0.60199600619007609</v>
      </c>
      <c r="K38" s="107">
        <f t="shared" si="10"/>
        <v>0.63665630409486229</v>
      </c>
      <c r="L38" s="107">
        <f t="shared" si="10"/>
        <v>0.66920996759758988</v>
      </c>
      <c r="M38" s="107">
        <f t="shared" si="10"/>
        <v>0.69999998807907104</v>
      </c>
    </row>
    <row r="39" spans="1:19" ht="12.9" thickBot="1" x14ac:dyDescent="0.35">
      <c r="A39" s="56"/>
      <c r="B39" s="21"/>
      <c r="C39" s="100">
        <f>($B$13-'P(H1)'!C$15)*C38+'P(H1)'!C$15</f>
        <v>1.2500000111758709</v>
      </c>
      <c r="D39" s="47">
        <f>($B$13-'P(H1)'!D$15)*D38+'P(H1)'!D$15</f>
        <v>1.4359296018059129</v>
      </c>
      <c r="E39" s="47">
        <f>($B$13-'P(H1)'!E$15)*E38+'P(H1)'!E$15</f>
        <v>1.2821153834557855</v>
      </c>
      <c r="F39" s="47">
        <f>($B$13-'P(H1)'!F$15)*F38+'P(H1)'!F$15</f>
        <v>1.3175752586882972</v>
      </c>
      <c r="G39" s="47">
        <f>($B$13-'P(H1)'!G$15)*G38+'P(H1)'!G$15</f>
        <v>1.5367426995854565</v>
      </c>
      <c r="H39" s="47">
        <f>($B$13-'P(H1)'!H$15)*H38+'P(H1)'!H$15</f>
        <v>1.9196801939928259</v>
      </c>
      <c r="I39" s="47">
        <f>($B$13-'P(H1)'!I$15)*I38+'P(H1)'!I$15</f>
        <v>2.4416494743846089</v>
      </c>
      <c r="J39" s="47">
        <f>($B$13-'P(H1)'!J$15)*J38+'P(H1)'!J$15</f>
        <v>3.077576587966754</v>
      </c>
      <c r="K39" s="47">
        <f>($B$13-'P(H1)'!K$15)*K38+'P(H1)'!K$15</f>
        <v>3.8107705215528682</v>
      </c>
      <c r="L39" s="47">
        <f>($B$13-'P(H1)'!L$15)*L38+'P(H1)'!L$15</f>
        <v>4.6411089834897536</v>
      </c>
      <c r="M39" s="48">
        <f>($B$13-'P(H1)'!M$15)*M38+'P(H1)'!M$15</f>
        <v>5.5999999059171301</v>
      </c>
    </row>
    <row r="40" spans="1:19" x14ac:dyDescent="0.3">
      <c r="A40" s="56"/>
      <c r="B40" s="97" t="s">
        <v>10</v>
      </c>
      <c r="C40" s="104">
        <f>'P(F1)'!C19</f>
        <v>12</v>
      </c>
      <c r="D40" s="50">
        <f>'P(F1)'!D19</f>
        <v>12.601714301953042</v>
      </c>
      <c r="E40" s="50">
        <f>'P(F1)'!E19</f>
        <v>12.848951427683611</v>
      </c>
      <c r="F40" s="50">
        <f>'P(F1)'!F19</f>
        <v>12.739977092637686</v>
      </c>
      <c r="G40" s="50">
        <f>'P(F1)'!G19</f>
        <v>12.261366247739474</v>
      </c>
      <c r="H40" s="50">
        <f>'P(F1)'!H19</f>
        <v>11.372028549062913</v>
      </c>
      <c r="I40" s="50">
        <f>'P(F1)'!I19</f>
        <v>10.017157774329755</v>
      </c>
      <c r="J40" s="50">
        <f>'P(F1)'!J19</f>
        <v>8.1489074372180585</v>
      </c>
      <c r="K40" s="50">
        <f>'P(F1)'!K19</f>
        <v>5.7874695282104938</v>
      </c>
      <c r="L40" s="50">
        <f>'P(F1)'!L19</f>
        <v>3.0844916684945929</v>
      </c>
      <c r="M40" s="51">
        <f>'P(F1)'!M19</f>
        <v>0.28121877583771493</v>
      </c>
    </row>
    <row r="41" spans="1:19" ht="12.9" thickBot="1" x14ac:dyDescent="0.35">
      <c r="A41" s="56"/>
      <c r="B41" s="21"/>
      <c r="C41" s="105">
        <f>$B$13</f>
        <v>8</v>
      </c>
      <c r="D41" s="52">
        <f t="shared" ref="D41:M41" si="11">$B$13</f>
        <v>8</v>
      </c>
      <c r="E41" s="52">
        <f t="shared" si="11"/>
        <v>8</v>
      </c>
      <c r="F41" s="52">
        <f t="shared" si="11"/>
        <v>8</v>
      </c>
      <c r="G41" s="52">
        <f t="shared" si="11"/>
        <v>8</v>
      </c>
      <c r="H41" s="52">
        <f t="shared" si="11"/>
        <v>8</v>
      </c>
      <c r="I41" s="52">
        <f t="shared" si="11"/>
        <v>8</v>
      </c>
      <c r="J41" s="52">
        <f t="shared" si="11"/>
        <v>8</v>
      </c>
      <c r="K41" s="52">
        <f t="shared" si="11"/>
        <v>8</v>
      </c>
      <c r="L41" s="52">
        <f t="shared" si="11"/>
        <v>8</v>
      </c>
      <c r="M41" s="53">
        <f t="shared" si="11"/>
        <v>8</v>
      </c>
    </row>
    <row r="42" spans="1:19" x14ac:dyDescent="0.3"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1:19" x14ac:dyDescent="0.3"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1:19" x14ac:dyDescent="0.3">
      <c r="B44" s="37" t="s">
        <v>48</v>
      </c>
      <c r="C44" s="37"/>
      <c r="D44" s="37"/>
      <c r="E44" s="37"/>
      <c r="F44" s="37"/>
      <c r="G44" s="37"/>
      <c r="H44" s="37"/>
      <c r="I44" s="37" t="s">
        <v>49</v>
      </c>
      <c r="J44" s="37"/>
      <c r="O44" s="13" t="s">
        <v>50</v>
      </c>
      <c r="S44" s="13" t="s">
        <v>51</v>
      </c>
    </row>
    <row r="47" spans="1:19" s="35" customFormat="1" x14ac:dyDescent="0.3"/>
    <row r="48" spans="1:19" s="35" customFormat="1" x14ac:dyDescent="0.3"/>
    <row r="50" spans="1:1" s="35" customFormat="1" x14ac:dyDescent="0.3"/>
    <row r="52" spans="1:1" s="35" customFormat="1" x14ac:dyDescent="0.3"/>
    <row r="54" spans="1:1" s="35" customFormat="1" x14ac:dyDescent="0.3"/>
    <row r="56" spans="1:1" s="35" customFormat="1" x14ac:dyDescent="0.3"/>
    <row r="58" spans="1:1" s="35" customFormat="1" x14ac:dyDescent="0.3"/>
    <row r="59" spans="1:1" x14ac:dyDescent="0.3">
      <c r="A59" s="36"/>
    </row>
    <row r="60" spans="1:1" s="35" customFormat="1" x14ac:dyDescent="0.3"/>
    <row r="62" spans="1:1" s="35" customFormat="1" x14ac:dyDescent="0.3"/>
    <row r="64" spans="1:1" s="35" customFormat="1" x14ac:dyDescent="0.3"/>
    <row r="65" spans="2:19" s="35" customFormat="1" x14ac:dyDescent="0.3">
      <c r="B65" s="38" t="s">
        <v>52</v>
      </c>
      <c r="I65" s="38" t="s">
        <v>53</v>
      </c>
      <c r="O65" s="38" t="s">
        <v>54</v>
      </c>
      <c r="S65" s="38" t="s">
        <v>55</v>
      </c>
    </row>
    <row r="66" spans="2:19" s="35" customFormat="1" x14ac:dyDescent="0.3"/>
    <row r="87" spans="2:15" x14ac:dyDescent="0.3">
      <c r="B87" s="13" t="s">
        <v>56</v>
      </c>
      <c r="I87" s="13" t="s">
        <v>57</v>
      </c>
      <c r="O87" s="13" t="s">
        <v>69</v>
      </c>
    </row>
  </sheetData>
  <customSheetViews>
    <customSheetView guid="{6F7781FF-4227-45E9-9A1D-AE63B35B3D6B}" showRuler="0">
      <selection activeCell="A20" sqref="A20"/>
      <pageMargins left="0.75" right="0.75" top="1" bottom="1" header="0.4921259845" footer="0.4921259845"/>
      <headerFooter alignWithMargins="0"/>
    </customSheetView>
  </customSheetViews>
  <mergeCells count="6">
    <mergeCell ref="P11:Q11"/>
    <mergeCell ref="E2:G2"/>
    <mergeCell ref="J2:L2"/>
    <mergeCell ref="K20:M20"/>
    <mergeCell ref="C20:E20"/>
    <mergeCell ref="P12:P14"/>
  </mergeCells>
  <phoneticPr fontId="2" type="noConversion"/>
  <pageMargins left="0.75" right="0.75" top="1" bottom="1" header="0.4921259845" footer="0.4921259845"/>
  <pageSetup paperSize="9" orientation="portrait" horizontalDpi="4294967293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77" r:id="rId4" name="Btn_Formes">
          <controlPr defaultSize="0" autoLine="0" autoPict="0" r:id="rId5">
            <anchor moveWithCells="1">
              <from>
                <xdr:col>12</xdr:col>
                <xdr:colOff>38100</xdr:colOff>
                <xdr:row>6</xdr:row>
                <xdr:rowOff>81643</xdr:rowOff>
              </from>
              <to>
                <xdr:col>13</xdr:col>
                <xdr:colOff>446314</xdr:colOff>
                <xdr:row>8</xdr:row>
                <xdr:rowOff>70757</xdr:rowOff>
              </to>
            </anchor>
          </controlPr>
        </control>
      </mc:Choice>
      <mc:Fallback>
        <control shapeId="2077" r:id="rId4" name="Btn_Formes"/>
      </mc:Fallback>
    </mc:AlternateContent>
    <mc:AlternateContent xmlns:mc="http://schemas.openxmlformats.org/markup-compatibility/2006">
      <mc:Choice Requires="x14">
        <control shapeId="2076" r:id="rId6" name="CommandButton5">
          <controlPr defaultSize="0" autoLine="0" r:id="rId7">
            <anchor moveWithCells="1">
              <from>
                <xdr:col>12</xdr:col>
                <xdr:colOff>27214</xdr:colOff>
                <xdr:row>9</xdr:row>
                <xdr:rowOff>38100</xdr:rowOff>
              </from>
              <to>
                <xdr:col>14</xdr:col>
                <xdr:colOff>76200</xdr:colOff>
                <xdr:row>11</xdr:row>
                <xdr:rowOff>0</xdr:rowOff>
              </to>
            </anchor>
          </controlPr>
        </control>
      </mc:Choice>
      <mc:Fallback>
        <control shapeId="2076" r:id="rId6" name="CommandButton5"/>
      </mc:Fallback>
    </mc:AlternateContent>
    <mc:AlternateContent xmlns:mc="http://schemas.openxmlformats.org/markup-compatibility/2006">
      <mc:Choice Requires="x14">
        <control shapeId="2075" r:id="rId8" name="CommandButton4">
          <controlPr defaultSize="0" autoLine="0" r:id="rId9">
            <anchor moveWithCells="1">
              <from>
                <xdr:col>12</xdr:col>
                <xdr:colOff>38100</xdr:colOff>
                <xdr:row>11</xdr:row>
                <xdr:rowOff>48986</xdr:rowOff>
              </from>
              <to>
                <xdr:col>14</xdr:col>
                <xdr:colOff>87086</xdr:colOff>
                <xdr:row>13</xdr:row>
                <xdr:rowOff>27214</xdr:rowOff>
              </to>
            </anchor>
          </controlPr>
        </control>
      </mc:Choice>
      <mc:Fallback>
        <control shapeId="2075" r:id="rId8" name="CommandButton4"/>
      </mc:Fallback>
    </mc:AlternateContent>
    <mc:AlternateContent xmlns:mc="http://schemas.openxmlformats.org/markup-compatibility/2006">
      <mc:Choice Requires="x14">
        <control shapeId="2072" r:id="rId10" name="CommandButton3">
          <controlPr defaultSize="0" autoLine="0" r:id="rId11">
            <anchor moveWithCells="1">
              <from>
                <xdr:col>12</xdr:col>
                <xdr:colOff>38100</xdr:colOff>
                <xdr:row>4</xdr:row>
                <xdr:rowOff>65314</xdr:rowOff>
              </from>
              <to>
                <xdr:col>13</xdr:col>
                <xdr:colOff>631371</xdr:colOff>
                <xdr:row>6</xdr:row>
                <xdr:rowOff>48986</xdr:rowOff>
              </to>
            </anchor>
          </controlPr>
        </control>
      </mc:Choice>
      <mc:Fallback>
        <control shapeId="2072" r:id="rId10" name="CommandButton3"/>
      </mc:Fallback>
    </mc:AlternateContent>
    <mc:AlternateContent xmlns:mc="http://schemas.openxmlformats.org/markup-compatibility/2006">
      <mc:Choice Requires="x14">
        <control shapeId="2071" r:id="rId12" name="CommandButton2">
          <controlPr defaultSize="0" autoLine="0" autoPict="0" r:id="rId13">
            <anchor moveWithCells="1">
              <from>
                <xdr:col>12</xdr:col>
                <xdr:colOff>38100</xdr:colOff>
                <xdr:row>2</xdr:row>
                <xdr:rowOff>27214</xdr:rowOff>
              </from>
              <to>
                <xdr:col>13</xdr:col>
                <xdr:colOff>424543</xdr:colOff>
                <xdr:row>4</xdr:row>
                <xdr:rowOff>16329</xdr:rowOff>
              </to>
            </anchor>
          </controlPr>
        </control>
      </mc:Choice>
      <mc:Fallback>
        <control shapeId="2071" r:id="rId12" name="CommandButton2"/>
      </mc:Fallback>
    </mc:AlternateContent>
    <mc:AlternateContent xmlns:mc="http://schemas.openxmlformats.org/markup-compatibility/2006">
      <mc:Choice Requires="x14">
        <control shapeId="2070" r:id="rId14" name="CommandButton1">
          <controlPr defaultSize="0" autoLine="0" r:id="rId15">
            <anchor moveWithCells="1">
              <from>
                <xdr:col>0</xdr:col>
                <xdr:colOff>16329</xdr:colOff>
                <xdr:row>0</xdr:row>
                <xdr:rowOff>16329</xdr:rowOff>
              </from>
              <to>
                <xdr:col>0</xdr:col>
                <xdr:colOff>1028700</xdr:colOff>
                <xdr:row>2</xdr:row>
                <xdr:rowOff>10886</xdr:rowOff>
              </to>
            </anchor>
          </controlPr>
        </control>
      </mc:Choice>
      <mc:Fallback>
        <control shapeId="2070" r:id="rId1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K38"/>
  <sheetViews>
    <sheetView workbookViewId="0">
      <selection activeCell="A8" sqref="A8:A9"/>
    </sheetView>
  </sheetViews>
  <sheetFormatPr defaultColWidth="11.3828125" defaultRowHeight="12.45" x14ac:dyDescent="0.3"/>
  <cols>
    <col min="1" max="1" width="16.3828125" style="139" bestFit="1" customWidth="1"/>
    <col min="2" max="2" width="11.3828125" style="139"/>
    <col min="3" max="3" width="12.3828125" style="139" bestFit="1" customWidth="1"/>
    <col min="4" max="4" width="11.3828125" style="139"/>
    <col min="5" max="5" width="2.3046875" style="139" customWidth="1"/>
    <col min="6" max="6" width="2" style="139" customWidth="1"/>
    <col min="7" max="16384" width="11.3828125" style="139"/>
  </cols>
  <sheetData>
    <row r="1" spans="1:7" x14ac:dyDescent="0.3">
      <c r="A1" s="150" t="s">
        <v>144</v>
      </c>
      <c r="B1" s="146">
        <f>'Données Générales'!B13</f>
        <v>8</v>
      </c>
    </row>
    <row r="2" spans="1:7" x14ac:dyDescent="0.3">
      <c r="A2" s="151" t="s">
        <v>145</v>
      </c>
      <c r="B2" s="148">
        <f>'Données Générales'!B3</f>
        <v>100</v>
      </c>
      <c r="E2" s="139" t="s">
        <v>146</v>
      </c>
      <c r="F2" s="139" t="s">
        <v>147</v>
      </c>
      <c r="G2" s="140">
        <f>C3</f>
        <v>55.000000000000007</v>
      </c>
    </row>
    <row r="3" spans="1:7" x14ac:dyDescent="0.3">
      <c r="A3" s="151" t="s">
        <v>148</v>
      </c>
      <c r="B3" s="157">
        <v>0.55000000000000004</v>
      </c>
      <c r="C3" s="139">
        <f>B3*B2</f>
        <v>55.000000000000007</v>
      </c>
      <c r="F3" s="139" t="s">
        <v>149</v>
      </c>
      <c r="G3" s="140">
        <v>0</v>
      </c>
    </row>
    <row r="4" spans="1:7" x14ac:dyDescent="0.3">
      <c r="A4" s="151" t="s">
        <v>150</v>
      </c>
      <c r="B4" s="158">
        <v>160</v>
      </c>
      <c r="F4" s="139" t="s">
        <v>118</v>
      </c>
      <c r="G4" s="140">
        <f>B4+B1</f>
        <v>168</v>
      </c>
    </row>
    <row r="5" spans="1:7" x14ac:dyDescent="0.3">
      <c r="A5" s="151" t="s">
        <v>151</v>
      </c>
      <c r="B5" s="157">
        <v>0.6</v>
      </c>
      <c r="C5" s="139">
        <f>(C3)*B5</f>
        <v>33</v>
      </c>
      <c r="G5" s="140"/>
    </row>
    <row r="6" spans="1:7" x14ac:dyDescent="0.3">
      <c r="A6" s="151" t="s">
        <v>152</v>
      </c>
      <c r="B6" s="159">
        <v>0.81818181818181823</v>
      </c>
      <c r="C6" s="139">
        <f>B4*B6</f>
        <v>130.90909090909091</v>
      </c>
      <c r="E6" s="139" t="s">
        <v>153</v>
      </c>
      <c r="F6" s="139" t="s">
        <v>147</v>
      </c>
      <c r="G6" s="140">
        <f>G2-C5</f>
        <v>22.000000000000007</v>
      </c>
    </row>
    <row r="7" spans="1:7" x14ac:dyDescent="0.3">
      <c r="A7" s="151" t="s">
        <v>154</v>
      </c>
      <c r="B7" s="160">
        <v>-0.05</v>
      </c>
      <c r="C7" s="139">
        <f>(1+B7)*B2</f>
        <v>95</v>
      </c>
      <c r="F7" s="139" t="s">
        <v>149</v>
      </c>
      <c r="G7" s="140">
        <v>0</v>
      </c>
    </row>
    <row r="8" spans="1:7" x14ac:dyDescent="0.3">
      <c r="A8" s="151" t="s">
        <v>155</v>
      </c>
      <c r="B8" s="160">
        <v>0.03</v>
      </c>
      <c r="C8" s="139">
        <f>B8*B4</f>
        <v>4.8</v>
      </c>
      <c r="F8" s="139" t="s">
        <v>118</v>
      </c>
      <c r="G8" s="140">
        <f>C10+B1</f>
        <v>12.8</v>
      </c>
    </row>
    <row r="9" spans="1:7" x14ac:dyDescent="0.3">
      <c r="A9" s="151" t="s">
        <v>156</v>
      </c>
      <c r="B9" s="160">
        <v>0.15</v>
      </c>
      <c r="C9" s="139">
        <f>(B2-C3)*B9</f>
        <v>6.7499999999999991</v>
      </c>
      <c r="G9" s="140"/>
    </row>
    <row r="10" spans="1:7" ht="12.9" thickBot="1" x14ac:dyDescent="0.35">
      <c r="A10" s="152" t="s">
        <v>157</v>
      </c>
      <c r="B10" s="161">
        <v>0.03</v>
      </c>
      <c r="C10" s="139">
        <f>B10*B4</f>
        <v>4.8</v>
      </c>
      <c r="E10" s="139" t="s">
        <v>158</v>
      </c>
      <c r="F10" s="139" t="s">
        <v>147</v>
      </c>
      <c r="G10" s="140">
        <f>G2</f>
        <v>55.000000000000007</v>
      </c>
    </row>
    <row r="11" spans="1:7" x14ac:dyDescent="0.3">
      <c r="F11" s="139" t="s">
        <v>149</v>
      </c>
      <c r="G11" s="140">
        <v>0</v>
      </c>
    </row>
    <row r="12" spans="1:7" ht="12.9" thickBot="1" x14ac:dyDescent="0.35">
      <c r="F12" s="139" t="s">
        <v>118</v>
      </c>
      <c r="G12" s="140">
        <f>G8</f>
        <v>12.8</v>
      </c>
    </row>
    <row r="13" spans="1:7" ht="12.9" thickBot="1" x14ac:dyDescent="0.35">
      <c r="A13" s="153" t="s">
        <v>167</v>
      </c>
      <c r="B13" s="162">
        <v>90</v>
      </c>
      <c r="C13" s="140">
        <f>C14*1.852*1000/3600</f>
        <v>3.3438888888888889</v>
      </c>
      <c r="D13" s="139" t="s">
        <v>238</v>
      </c>
      <c r="G13" s="140"/>
    </row>
    <row r="14" spans="1:7" x14ac:dyDescent="0.3">
      <c r="B14" s="139" t="s">
        <v>184</v>
      </c>
      <c r="C14" s="154">
        <v>6.5</v>
      </c>
      <c r="D14" s="139" t="s">
        <v>185</v>
      </c>
      <c r="E14" s="139" t="s">
        <v>159</v>
      </c>
      <c r="F14" s="139" t="s">
        <v>147</v>
      </c>
      <c r="G14" s="140">
        <f>G2</f>
        <v>55.000000000000007</v>
      </c>
    </row>
    <row r="15" spans="1:7" x14ac:dyDescent="0.3">
      <c r="B15" s="139" t="s">
        <v>168</v>
      </c>
      <c r="C15" s="154">
        <v>0</v>
      </c>
      <c r="F15" s="139" t="s">
        <v>149</v>
      </c>
      <c r="G15" s="140">
        <v>0</v>
      </c>
    </row>
    <row r="16" spans="1:7" x14ac:dyDescent="0.3">
      <c r="B16" s="139" t="s">
        <v>169</v>
      </c>
      <c r="C16" s="154">
        <v>0</v>
      </c>
      <c r="F16" s="139" t="s">
        <v>118</v>
      </c>
      <c r="G16" s="140">
        <f>C6+B1</f>
        <v>138.90909090909091</v>
      </c>
    </row>
    <row r="17" spans="1:11" x14ac:dyDescent="0.3">
      <c r="B17" s="139" t="s">
        <v>170</v>
      </c>
      <c r="C17" s="154">
        <v>0</v>
      </c>
      <c r="G17" s="140"/>
    </row>
    <row r="18" spans="1:11" x14ac:dyDescent="0.3">
      <c r="E18" s="139" t="s">
        <v>160</v>
      </c>
      <c r="F18" s="139" t="s">
        <v>147</v>
      </c>
      <c r="G18" s="140">
        <f>C7</f>
        <v>95</v>
      </c>
    </row>
    <row r="19" spans="1:11" x14ac:dyDescent="0.3">
      <c r="B19" s="139" t="s">
        <v>209</v>
      </c>
      <c r="C19" s="155">
        <v>1.9608916409313681</v>
      </c>
      <c r="F19" s="139" t="s">
        <v>149</v>
      </c>
      <c r="G19" s="140">
        <v>0</v>
      </c>
    </row>
    <row r="20" spans="1:11" x14ac:dyDescent="0.3">
      <c r="A20" s="142" t="s">
        <v>202</v>
      </c>
      <c r="B20" s="140" t="s">
        <v>171</v>
      </c>
      <c r="C20" s="155">
        <v>0</v>
      </c>
      <c r="F20" s="139" t="s">
        <v>118</v>
      </c>
      <c r="G20" s="140">
        <f>G12</f>
        <v>12.8</v>
      </c>
    </row>
    <row r="21" spans="1:11" x14ac:dyDescent="0.3">
      <c r="A21" s="143"/>
      <c r="B21" s="140" t="s">
        <v>172</v>
      </c>
      <c r="C21" s="155">
        <v>1.9608916044235229</v>
      </c>
      <c r="G21" s="140"/>
      <c r="I21" s="139">
        <f>'Données Générales'!B9</f>
        <v>99.000000022351742</v>
      </c>
      <c r="J21" s="139">
        <f>'Données Générales'!B12</f>
        <v>0</v>
      </c>
    </row>
    <row r="22" spans="1:11" x14ac:dyDescent="0.3">
      <c r="B22" s="140" t="s">
        <v>173</v>
      </c>
      <c r="C22" s="155">
        <v>0</v>
      </c>
      <c r="E22" s="139" t="s">
        <v>161</v>
      </c>
      <c r="F22" s="139" t="s">
        <v>147</v>
      </c>
      <c r="G22" s="140">
        <f>C3+C9</f>
        <v>61.750000000000007</v>
      </c>
      <c r="I22" s="139">
        <f>B2</f>
        <v>100</v>
      </c>
      <c r="J22" s="139">
        <f>B1</f>
        <v>8</v>
      </c>
    </row>
    <row r="23" spans="1:11" x14ac:dyDescent="0.3">
      <c r="F23" s="139" t="s">
        <v>149</v>
      </c>
      <c r="G23" s="140">
        <v>0</v>
      </c>
      <c r="I23" s="144">
        <f>J22/TAN(B13*PI()/180)</f>
        <v>4.90059381963448E-16</v>
      </c>
      <c r="J23" s="139">
        <f>J22</f>
        <v>8</v>
      </c>
    </row>
    <row r="24" spans="1:11" x14ac:dyDescent="0.3">
      <c r="A24" s="140"/>
      <c r="B24" s="140" t="s">
        <v>174</v>
      </c>
      <c r="C24" s="156">
        <v>55.915762307017204</v>
      </c>
      <c r="F24" s="139" t="s">
        <v>118</v>
      </c>
      <c r="G24" s="140">
        <f>B1+C8</f>
        <v>12.8</v>
      </c>
      <c r="I24" s="139">
        <v>0</v>
      </c>
      <c r="J24" s="139">
        <f>'Données Générales'!B11</f>
        <v>0.5</v>
      </c>
    </row>
    <row r="25" spans="1:11" x14ac:dyDescent="0.3">
      <c r="A25" s="140"/>
      <c r="B25" s="140" t="s">
        <v>175</v>
      </c>
      <c r="C25" s="156">
        <v>0</v>
      </c>
    </row>
    <row r="26" spans="1:11" x14ac:dyDescent="0.3">
      <c r="A26" s="140"/>
      <c r="B26" s="140" t="s">
        <v>176</v>
      </c>
      <c r="C26" s="156">
        <v>59.469558715820313</v>
      </c>
      <c r="D26" s="139" t="s">
        <v>162</v>
      </c>
      <c r="F26" s="139" t="s">
        <v>147</v>
      </c>
      <c r="G26" s="139">
        <f>1/3*(G2+G6+G10)</f>
        <v>44.000000000000007</v>
      </c>
    </row>
    <row r="27" spans="1:11" x14ac:dyDescent="0.3">
      <c r="F27" s="139" t="s">
        <v>149</v>
      </c>
      <c r="G27" s="139">
        <f>1/3*(G3+G7+G11)</f>
        <v>0</v>
      </c>
      <c r="K27" s="141">
        <v>0.05</v>
      </c>
    </row>
    <row r="28" spans="1:11" x14ac:dyDescent="0.3">
      <c r="B28" s="140" t="s">
        <v>80</v>
      </c>
      <c r="C28" s="76">
        <f>Resultats!G7</f>
        <v>46.486568450927734</v>
      </c>
      <c r="F28" s="139" t="s">
        <v>118</v>
      </c>
      <c r="G28" s="139">
        <f>1/3*(G4+G8+G12)</f>
        <v>64.533333333333331</v>
      </c>
      <c r="I28" s="139">
        <f>G36*(1-$K$27)</f>
        <v>53.168441812574407</v>
      </c>
      <c r="J28" s="139">
        <f>$G$38</f>
        <v>60.168135415169431</v>
      </c>
    </row>
    <row r="29" spans="1:11" x14ac:dyDescent="0.3">
      <c r="B29" s="140" t="s">
        <v>82</v>
      </c>
      <c r="C29" s="76">
        <f>Resultats!G8</f>
        <v>2.7125766910440774E-12</v>
      </c>
      <c r="D29" s="139" t="s">
        <v>163</v>
      </c>
      <c r="F29" s="144"/>
      <c r="G29" s="139">
        <f>1/2*(G4-G12)*(G10-G6)</f>
        <v>2560.7999999999997</v>
      </c>
      <c r="I29" s="139">
        <f>G36</f>
        <v>55.966780855341483</v>
      </c>
      <c r="J29" s="139">
        <f>$G$38</f>
        <v>60.168135415169431</v>
      </c>
    </row>
    <row r="30" spans="1:11" x14ac:dyDescent="0.3">
      <c r="B30" s="140" t="s">
        <v>81</v>
      </c>
      <c r="C30" s="76">
        <v>5.53</v>
      </c>
      <c r="I30" s="139">
        <f>G36*(1+$K$27)</f>
        <v>58.765119898108559</v>
      </c>
      <c r="J30" s="139">
        <f>$G$38</f>
        <v>60.168135415169431</v>
      </c>
    </row>
    <row r="31" spans="1:11" x14ac:dyDescent="0.3">
      <c r="D31" s="139" t="s">
        <v>164</v>
      </c>
      <c r="F31" s="139" t="s">
        <v>147</v>
      </c>
      <c r="G31" s="139">
        <f>1/3*(G14+G18+G22)</f>
        <v>70.583333333333329</v>
      </c>
    </row>
    <row r="32" spans="1:11" x14ac:dyDescent="0.3">
      <c r="F32" s="139" t="s">
        <v>149</v>
      </c>
      <c r="G32" s="139">
        <f>1/3*(G15+G19+G23)</f>
        <v>0</v>
      </c>
      <c r="I32" s="139">
        <f>$G$36</f>
        <v>55.966780855341483</v>
      </c>
      <c r="J32" s="139">
        <f>G38*(1-K27)</f>
        <v>57.159728644410954</v>
      </c>
    </row>
    <row r="33" spans="2:10" x14ac:dyDescent="0.3">
      <c r="B33" s="140" t="s">
        <v>192</v>
      </c>
      <c r="C33" s="76">
        <f>((C25-C29)*C22-(C26-C30)*C21)</f>
        <v>-105.76962783216172</v>
      </c>
      <c r="F33" s="139" t="s">
        <v>118</v>
      </c>
      <c r="G33" s="139">
        <f>1/3*(G16+G20+G24)</f>
        <v>54.836363636363643</v>
      </c>
      <c r="I33" s="139">
        <f>$G$36</f>
        <v>55.966780855341483</v>
      </c>
      <c r="J33" s="139">
        <f>$G$38</f>
        <v>60.168135415169431</v>
      </c>
    </row>
    <row r="34" spans="2:10" x14ac:dyDescent="0.3">
      <c r="B34" s="140" t="s">
        <v>193</v>
      </c>
      <c r="C34" s="76">
        <f>((C26-C30)*C20-(C24-C28)*C22)</f>
        <v>0</v>
      </c>
      <c r="D34" s="139" t="s">
        <v>165</v>
      </c>
      <c r="G34" s="139">
        <f>ABS(1/2*((G18-G22)^2+(G20-G24)^2)^(1/2)*((G14-G22)^2+(G16-G24)^2)^(1/2)*SIN(ATAN((G16-G24)/(G14-G22))-ATAN((G20-G24)/(G18-G22))))</f>
        <v>2096.5636363636359</v>
      </c>
      <c r="I34" s="139">
        <f>$G$36</f>
        <v>55.966780855341483</v>
      </c>
      <c r="J34" s="139">
        <f>G38*(1+K27)</f>
        <v>63.176542185927907</v>
      </c>
    </row>
    <row r="35" spans="2:10" x14ac:dyDescent="0.3">
      <c r="B35" s="140" t="s">
        <v>194</v>
      </c>
      <c r="C35" s="76">
        <f>((C24-C28)*C21-(C25-C29)*C20)</f>
        <v>18.489627068887703</v>
      </c>
    </row>
    <row r="36" spans="2:10" x14ac:dyDescent="0.3">
      <c r="D36" s="139" t="s">
        <v>166</v>
      </c>
      <c r="F36" s="139" t="s">
        <v>147</v>
      </c>
      <c r="G36" s="139">
        <f>1/(G29+G34)*(G29*G26+G34*G31)</f>
        <v>55.966780855341483</v>
      </c>
    </row>
    <row r="37" spans="2:10" x14ac:dyDescent="0.3">
      <c r="F37" s="139" t="s">
        <v>149</v>
      </c>
      <c r="G37" s="139">
        <f>1/(G29+G34)*(G29*G27+G34*G32)</f>
        <v>0</v>
      </c>
      <c r="I37" s="139">
        <f>G29+G34</f>
        <v>4657.363636363636</v>
      </c>
    </row>
    <row r="38" spans="2:10" x14ac:dyDescent="0.3">
      <c r="F38" s="139" t="s">
        <v>118</v>
      </c>
      <c r="G38" s="139">
        <f>1/(G29+G34)*(G29*G28+G34*G33)</f>
        <v>60.168135415169431</v>
      </c>
    </row>
  </sheetData>
  <phoneticPr fontId="0" type="noConversion"/>
  <hyperlinks>
    <hyperlink ref="A20" r:id="rId1"/>
  </hyperlinks>
  <pageMargins left="0.75" right="0.75" top="1" bottom="1" header="0.4921259845" footer="0.4921259845"/>
  <headerFooter alignWithMargins="0"/>
  <drawing r:id="rId2"/>
  <legacyDrawing r:id="rId3"/>
  <controls>
    <mc:AlternateContent xmlns:mc="http://schemas.openxmlformats.org/markup-compatibility/2006">
      <mc:Choice Requires="x14">
        <control shapeId="10243" r:id="rId4" name="CommandButton1">
          <controlPr defaultSize="0" autoLine="0" autoPict="0" r:id="rId5">
            <anchor moveWithCells="1">
              <from>
                <xdr:col>0</xdr:col>
                <xdr:colOff>5443</xdr:colOff>
                <xdr:row>16</xdr:row>
                <xdr:rowOff>5443</xdr:rowOff>
              </from>
              <to>
                <xdr:col>0</xdr:col>
                <xdr:colOff>658586</xdr:colOff>
                <xdr:row>18</xdr:row>
                <xdr:rowOff>16329</xdr:rowOff>
              </to>
            </anchor>
          </controlPr>
        </control>
      </mc:Choice>
      <mc:Fallback>
        <control shapeId="1024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7"/>
  <sheetViews>
    <sheetView workbookViewId="0">
      <selection activeCell="A26" sqref="A26:C27"/>
    </sheetView>
  </sheetViews>
  <sheetFormatPr defaultRowHeight="12.45" x14ac:dyDescent="0.3"/>
  <cols>
    <col min="1" max="1" width="2.3046875" bestFit="1" customWidth="1"/>
    <col min="2" max="2" width="2" bestFit="1" customWidth="1"/>
    <col min="3" max="3" width="5.53515625" bestFit="1" customWidth="1"/>
    <col min="4" max="4" width="4.3828125" customWidth="1"/>
    <col min="5" max="256" width="11.07421875" customWidth="1"/>
  </cols>
  <sheetData>
    <row r="1" spans="1:6" s="211" customFormat="1" x14ac:dyDescent="0.3">
      <c r="E1" s="211" t="s">
        <v>162</v>
      </c>
    </row>
    <row r="2" spans="1:6" s="211" customFormat="1" x14ac:dyDescent="0.3">
      <c r="A2" s="211" t="str">
        <f>Gréément!E2</f>
        <v>A</v>
      </c>
      <c r="B2" s="211" t="str">
        <f>Gréément!F2</f>
        <v>x</v>
      </c>
      <c r="C2" s="212">
        <f>Gréément!G2</f>
        <v>55.000000000000007</v>
      </c>
      <c r="D2" s="212"/>
      <c r="E2" s="211" t="s">
        <v>251</v>
      </c>
      <c r="F2" s="212">
        <f>C4-C8</f>
        <v>155.19999999999999</v>
      </c>
    </row>
    <row r="3" spans="1:6" s="211" customFormat="1" x14ac:dyDescent="0.3">
      <c r="B3" s="211" t="str">
        <f>Gréément!F3</f>
        <v>y</v>
      </c>
      <c r="C3" s="212">
        <f>Gréément!G3</f>
        <v>0</v>
      </c>
      <c r="D3" s="212"/>
      <c r="E3" s="211" t="s">
        <v>252</v>
      </c>
      <c r="F3" s="212">
        <f>C10-C6</f>
        <v>33</v>
      </c>
    </row>
    <row r="4" spans="1:6" s="211" customFormat="1" x14ac:dyDescent="0.3">
      <c r="B4" s="211" t="str">
        <f>Gréément!F4</f>
        <v>z</v>
      </c>
      <c r="C4" s="212">
        <f>Gréément!G4</f>
        <v>168</v>
      </c>
      <c r="D4" s="212"/>
      <c r="E4" s="211" t="s">
        <v>255</v>
      </c>
      <c r="F4" s="212">
        <f>C4-C8</f>
        <v>155.19999999999999</v>
      </c>
    </row>
    <row r="5" spans="1:6" s="211" customFormat="1" x14ac:dyDescent="0.3">
      <c r="C5" s="212"/>
      <c r="D5" s="212"/>
      <c r="E5" s="211" t="s">
        <v>256</v>
      </c>
      <c r="F5" s="212">
        <f>C10-C6</f>
        <v>33</v>
      </c>
    </row>
    <row r="6" spans="1:6" s="211" customFormat="1" x14ac:dyDescent="0.3">
      <c r="A6" s="211" t="str">
        <f>Gréément!E6</f>
        <v>B</v>
      </c>
      <c r="B6" s="211" t="str">
        <f>Gréément!F6</f>
        <v>x</v>
      </c>
      <c r="C6" s="212">
        <f>Gréément!G6</f>
        <v>22.000000000000007</v>
      </c>
      <c r="D6" s="212"/>
      <c r="E6" s="211" t="s">
        <v>257</v>
      </c>
      <c r="F6" s="212">
        <f>POWER(POWER(C6-C2,2)+POWER(C4-C8,2),0.5)</f>
        <v>158.66959381053448</v>
      </c>
    </row>
    <row r="7" spans="1:6" s="211" customFormat="1" x14ac:dyDescent="0.3">
      <c r="B7" s="211" t="str">
        <f>Gréément!F7</f>
        <v>y</v>
      </c>
      <c r="C7" s="212">
        <f>Gréément!G7</f>
        <v>0</v>
      </c>
      <c r="D7" s="212"/>
    </row>
    <row r="8" spans="1:6" s="211" customFormat="1" x14ac:dyDescent="0.3">
      <c r="B8" s="211" t="str">
        <f>Gréément!F8</f>
        <v>z</v>
      </c>
      <c r="C8" s="212">
        <f>Gréément!G8</f>
        <v>12.8</v>
      </c>
      <c r="D8" s="212"/>
    </row>
    <row r="9" spans="1:6" s="211" customFormat="1" x14ac:dyDescent="0.3">
      <c r="C9" s="212"/>
      <c r="D9" s="212"/>
    </row>
    <row r="10" spans="1:6" s="211" customFormat="1" x14ac:dyDescent="0.3">
      <c r="A10" s="211" t="str">
        <f>Gréément!E10</f>
        <v>C</v>
      </c>
      <c r="B10" s="211" t="str">
        <f>Gréément!F10</f>
        <v>x</v>
      </c>
      <c r="C10" s="212">
        <f>Gréément!G10</f>
        <v>55.000000000000007</v>
      </c>
      <c r="D10" s="212"/>
    </row>
    <row r="11" spans="1:6" s="211" customFormat="1" x14ac:dyDescent="0.3">
      <c r="B11" s="211" t="str">
        <f>Gréément!F11</f>
        <v>y</v>
      </c>
      <c r="C11" s="212">
        <f>Gréément!G11</f>
        <v>0</v>
      </c>
      <c r="D11" s="212"/>
    </row>
    <row r="12" spans="1:6" s="211" customFormat="1" x14ac:dyDescent="0.3">
      <c r="B12" s="211" t="str">
        <f>Gréément!F12</f>
        <v>z</v>
      </c>
      <c r="C12" s="212">
        <f>Gréément!G12</f>
        <v>12.8</v>
      </c>
      <c r="D12" s="212"/>
    </row>
    <row r="13" spans="1:6" s="211" customFormat="1" x14ac:dyDescent="0.3">
      <c r="C13" s="212"/>
      <c r="D13" s="212"/>
    </row>
    <row r="14" spans="1:6" s="213" customFormat="1" x14ac:dyDescent="0.3">
      <c r="A14" s="213" t="str">
        <f>Gréément!E14</f>
        <v>D</v>
      </c>
      <c r="B14" s="213" t="str">
        <f>Gréément!F14</f>
        <v>x</v>
      </c>
      <c r="C14" s="214">
        <f>Gréément!G14</f>
        <v>55.000000000000007</v>
      </c>
      <c r="D14" s="214"/>
      <c r="E14" s="213" t="s">
        <v>164</v>
      </c>
    </row>
    <row r="15" spans="1:6" s="213" customFormat="1" x14ac:dyDescent="0.3">
      <c r="B15" s="213" t="str">
        <f>Gréément!F15</f>
        <v>y</v>
      </c>
      <c r="C15" s="214">
        <f>Gréément!G15</f>
        <v>0</v>
      </c>
      <c r="D15" s="214"/>
      <c r="E15" s="213" t="s">
        <v>251</v>
      </c>
      <c r="F15" s="214">
        <f>C16-C26</f>
        <v>126.10909090909091</v>
      </c>
    </row>
    <row r="16" spans="1:6" s="213" customFormat="1" x14ac:dyDescent="0.3">
      <c r="B16" s="213" t="str">
        <f>Gréément!F16</f>
        <v>z</v>
      </c>
      <c r="C16" s="214">
        <f>Gréément!G16</f>
        <v>138.90909090909091</v>
      </c>
      <c r="D16" s="214"/>
      <c r="E16" s="213" t="s">
        <v>252</v>
      </c>
      <c r="F16" s="214">
        <f>C18-C27</f>
        <v>39.999999999999993</v>
      </c>
    </row>
    <row r="17" spans="1:6" s="213" customFormat="1" x14ac:dyDescent="0.3">
      <c r="C17" s="214"/>
      <c r="D17" s="214"/>
      <c r="E17" s="213" t="s">
        <v>255</v>
      </c>
      <c r="F17" s="215">
        <f>(POWER(POWER(C14-C18,2)+POWER(C16-C24,2),0.5))</f>
        <v>132.30080426784016</v>
      </c>
    </row>
    <row r="18" spans="1:6" s="213" customFormat="1" x14ac:dyDescent="0.3">
      <c r="A18" s="213" t="str">
        <f>Gréément!E18</f>
        <v>E</v>
      </c>
      <c r="B18" s="213" t="str">
        <f>Gréément!F18</f>
        <v>x</v>
      </c>
      <c r="C18" s="214">
        <f>Gréément!G18</f>
        <v>95</v>
      </c>
      <c r="D18" s="214"/>
      <c r="E18" s="213" t="s">
        <v>256</v>
      </c>
      <c r="F18" s="213">
        <f>POWER(POWER(C18-C22,2)+POWER(C20-C24,2),0.5)</f>
        <v>33.249999999999993</v>
      </c>
    </row>
    <row r="19" spans="1:6" s="213" customFormat="1" x14ac:dyDescent="0.3">
      <c r="B19" s="213" t="str">
        <f>Gréément!F19</f>
        <v>y</v>
      </c>
      <c r="C19" s="214">
        <f>Gréément!G19</f>
        <v>0</v>
      </c>
      <c r="D19" s="214"/>
      <c r="E19" s="213" t="s">
        <v>257</v>
      </c>
      <c r="F19" s="215">
        <f>POWER(POWER(C14-C22,2)+POWER(C16-C24,2),0.5)</f>
        <v>126.28960887546273</v>
      </c>
    </row>
    <row r="20" spans="1:6" s="213" customFormat="1" x14ac:dyDescent="0.3">
      <c r="B20" s="213" t="str">
        <f>Gréément!F20</f>
        <v>z</v>
      </c>
      <c r="C20" s="214">
        <f>Gréément!G20</f>
        <v>12.8</v>
      </c>
      <c r="D20" s="214"/>
    </row>
    <row r="21" spans="1:6" s="213" customFormat="1" x14ac:dyDescent="0.3">
      <c r="C21" s="214"/>
      <c r="D21" s="214"/>
    </row>
    <row r="22" spans="1:6" s="213" customFormat="1" x14ac:dyDescent="0.3">
      <c r="A22" s="213" t="str">
        <f>Gréément!E22</f>
        <v>F</v>
      </c>
      <c r="B22" s="213" t="str">
        <f>Gréément!F22</f>
        <v>x</v>
      </c>
      <c r="C22" s="214">
        <f>Gréément!G22</f>
        <v>61.750000000000007</v>
      </c>
      <c r="D22" s="214"/>
    </row>
    <row r="23" spans="1:6" s="213" customFormat="1" x14ac:dyDescent="0.3">
      <c r="B23" s="213" t="str">
        <f>Gréément!F23</f>
        <v>y</v>
      </c>
      <c r="C23" s="214">
        <f>Gréément!G23</f>
        <v>0</v>
      </c>
      <c r="D23" s="214"/>
    </row>
    <row r="24" spans="1:6" s="213" customFormat="1" x14ac:dyDescent="0.3">
      <c r="B24" s="213" t="str">
        <f>Gréément!F24</f>
        <v>z</v>
      </c>
      <c r="C24" s="214">
        <f>Gréément!G24</f>
        <v>12.8</v>
      </c>
      <c r="D24" s="214"/>
    </row>
    <row r="26" spans="1:6" x14ac:dyDescent="0.3">
      <c r="A26" t="s">
        <v>253</v>
      </c>
      <c r="C26" s="64">
        <f>MIN(C24,C20)</f>
        <v>12.8</v>
      </c>
    </row>
    <row r="27" spans="1:6" x14ac:dyDescent="0.3">
      <c r="A27" t="s">
        <v>254</v>
      </c>
      <c r="C27" s="64">
        <f>MIN(C14,C22)</f>
        <v>55.000000000000007</v>
      </c>
    </row>
  </sheetData>
  <phoneticPr fontId="2" type="noConversion"/>
  <pageMargins left="0.75" right="0.75" top="1" bottom="1" header="0.4921259845" footer="0.492125984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/>
  <dimension ref="A2:I29"/>
  <sheetViews>
    <sheetView topLeftCell="A2" workbookViewId="0">
      <selection activeCell="J26" sqref="J26"/>
    </sheetView>
  </sheetViews>
  <sheetFormatPr defaultColWidth="11.3828125" defaultRowHeight="12.45" x14ac:dyDescent="0.3"/>
  <cols>
    <col min="1" max="1" width="13" style="139" customWidth="1"/>
    <col min="2" max="2" width="11.3828125" style="139"/>
    <col min="3" max="3" width="13.69140625" style="139" customWidth="1"/>
    <col min="4" max="4" width="18.3828125" style="139" bestFit="1" customWidth="1"/>
    <col min="5" max="5" width="11.53515625" style="139" bestFit="1" customWidth="1"/>
    <col min="6" max="16384" width="11.3828125" style="139"/>
  </cols>
  <sheetData>
    <row r="2" spans="1:9" x14ac:dyDescent="0.3">
      <c r="A2" s="139" t="s">
        <v>203</v>
      </c>
      <c r="H2" s="140">
        <f>$B$21-2.5</f>
        <v>43.375118255615234</v>
      </c>
      <c r="I2" s="140">
        <f>$B$21+2.5</f>
        <v>48.375118255615234</v>
      </c>
    </row>
    <row r="3" spans="1:9" ht="12.9" thickBot="1" x14ac:dyDescent="0.35">
      <c r="H3" s="140">
        <f>$B$22+2.5</f>
        <v>-7.6552600860595703</v>
      </c>
      <c r="I3" s="140">
        <f>$B$22-2.5</f>
        <v>-12.65526008605957</v>
      </c>
    </row>
    <row r="4" spans="1:9" ht="12.9" thickBot="1" x14ac:dyDescent="0.35">
      <c r="A4" s="153" t="s">
        <v>204</v>
      </c>
      <c r="B4" s="167">
        <v>40</v>
      </c>
      <c r="D4" s="150" t="s">
        <v>217</v>
      </c>
      <c r="E4" s="183">
        <v>18</v>
      </c>
    </row>
    <row r="5" spans="1:9" ht="12.9" thickBot="1" x14ac:dyDescent="0.35">
      <c r="D5" s="152" t="s">
        <v>220</v>
      </c>
      <c r="E5" s="161">
        <v>0.08</v>
      </c>
      <c r="H5" s="140">
        <f>Resultats!C13-2.5</f>
        <v>43.947322230262671</v>
      </c>
      <c r="I5" s="140">
        <f>Resultats!C13+2.5</f>
        <v>48.947322230262671</v>
      </c>
    </row>
    <row r="6" spans="1:9" ht="12.9" thickBot="1" x14ac:dyDescent="0.35">
      <c r="H6" s="140">
        <f>Resultats!O14+2.5</f>
        <v>0.90352772872166254</v>
      </c>
      <c r="I6" s="140">
        <f>Resultats!O14-2.5</f>
        <v>-4.096472271278337</v>
      </c>
    </row>
    <row r="7" spans="1:9" ht="12.9" thickBot="1" x14ac:dyDescent="0.35">
      <c r="A7" s="145"/>
      <c r="B7" s="228" t="s">
        <v>210</v>
      </c>
      <c r="C7" s="230"/>
      <c r="D7" s="228" t="s">
        <v>216</v>
      </c>
      <c r="E7" s="229"/>
    </row>
    <row r="8" spans="1:9" x14ac:dyDescent="0.3">
      <c r="A8" s="145" t="s">
        <v>222</v>
      </c>
      <c r="B8" s="172">
        <v>0.45</v>
      </c>
      <c r="C8" s="171">
        <f>B8*'Données Générales'!$B$3</f>
        <v>45</v>
      </c>
      <c r="D8" s="175">
        <v>0.03</v>
      </c>
      <c r="E8" s="208">
        <f>D8*'Données Générales'!$B$3</f>
        <v>3</v>
      </c>
    </row>
    <row r="9" spans="1:9" x14ac:dyDescent="0.3">
      <c r="A9" s="147" t="s">
        <v>223</v>
      </c>
      <c r="B9" s="173">
        <v>0.5</v>
      </c>
      <c r="C9" s="169">
        <f>B9*'Données Générales'!$B$3</f>
        <v>50</v>
      </c>
      <c r="D9" s="176">
        <v>7.0000000000000007E-2</v>
      </c>
      <c r="E9" s="209">
        <f>D9*'Données Générales'!$B$3</f>
        <v>7.0000000000000009</v>
      </c>
    </row>
    <row r="10" spans="1:9" x14ac:dyDescent="0.3">
      <c r="A10" s="147" t="s">
        <v>224</v>
      </c>
      <c r="B10" s="173">
        <v>0.5</v>
      </c>
      <c r="C10" s="169">
        <f>B10*'Données Générales'!$B$3</f>
        <v>50</v>
      </c>
      <c r="D10" s="176">
        <v>0.06</v>
      </c>
      <c r="E10" s="209">
        <f>D10*'Données Générales'!$B$3</f>
        <v>6</v>
      </c>
    </row>
    <row r="11" spans="1:9" ht="12.9" thickBot="1" x14ac:dyDescent="0.35">
      <c r="A11" s="149" t="s">
        <v>225</v>
      </c>
      <c r="B11" s="174">
        <v>0.45</v>
      </c>
      <c r="C11" s="170">
        <f>B11*'Données Générales'!$B$3</f>
        <v>45</v>
      </c>
      <c r="D11" s="177">
        <v>0.03</v>
      </c>
      <c r="E11" s="210">
        <f>D11*'Données Générales'!$B$3</f>
        <v>3</v>
      </c>
    </row>
    <row r="12" spans="1:9" ht="12.9" thickBot="1" x14ac:dyDescent="0.35"/>
    <row r="13" spans="1:9" x14ac:dyDescent="0.3">
      <c r="A13" s="150" t="s">
        <v>246</v>
      </c>
      <c r="B13" s="192">
        <f>'P(H1)'!$C$9+'Plan derive'!C8*'P(H1)'!$D$9+'Plan derive'!C8^2*'P(H1)'!$E$9+'Plan derive'!C8^3*'P(H1)'!$F$9+'Plan derive'!C8^4*'P(H1)'!$G$9+'Plan derive'!C8^5*'P(H1)'!$H$9+'Plan derive'!C8^6*'P(H1)'!$I$9+'Plan derive'!C8^7*'P(H1)'!$J$9+'Plan derive'!C8^8*'P(H1)'!$K$9+'Plan derive'!C8^9*'P(H1)'!$L$9+'Plan derive'!C8^10*'P(H1)'!$M$9</f>
        <v>-4.6608381609064047</v>
      </c>
      <c r="C13" s="168"/>
      <c r="D13" s="192">
        <f>'P(H1)'!$C$9+'Plan derive'!E8*'P(H1)'!$D$9+'Plan derive'!E8^2*'P(H1)'!$E$9+'Plan derive'!E8^3*'P(H1)'!$F$9+'Plan derive'!E8^4*'P(H1)'!$G$9+'Plan derive'!E8^5*'P(H1)'!$H$9+'Plan derive'!E8^6*'P(H1)'!$I$9+'Plan derive'!E8^7*'P(H1)'!$J$9+'Plan derive'!E8^8*'P(H1)'!$K$9+'Plan derive'!E8^9*'P(H1)'!$L$9+'Plan derive'!E8^10*'P(H1)'!$M$9</f>
        <v>-6.6704837381497031E-2</v>
      </c>
    </row>
    <row r="14" spans="1:9" x14ac:dyDescent="0.3">
      <c r="A14" s="151" t="s">
        <v>247</v>
      </c>
      <c r="B14" s="193">
        <f>'P(H1)'!$C$9+'Plan derive'!C9*'P(H1)'!$D$9+'Plan derive'!C9^2*'P(H1)'!$E$9+'Plan derive'!C9^3*'P(H1)'!$F$9+'Plan derive'!C9^4*'P(H1)'!$G$9+'Plan derive'!C9^5*'P(H1)'!$H$9+'Plan derive'!C9^6*'P(H1)'!$I$9+'Plan derive'!C9^7*'P(H1)'!$J$9+'Plan derive'!C9^8*'P(H1)'!$K$9+'Plan derive'!C9^9*'P(H1)'!$L$9+'Plan derive'!C9^10*'P(H1)'!$M$9</f>
        <v>-4.7894585337834954</v>
      </c>
      <c r="C14" s="182"/>
      <c r="D14" s="193">
        <f>'P(H1)'!$C$9+'Plan derive'!E9*'P(H1)'!$D$9+'Plan derive'!E9^2*'P(H1)'!$E$9+'Plan derive'!E9^3*'P(H1)'!$F$9+'Plan derive'!E9^4*'P(H1)'!$G$9+'Plan derive'!E9^5*'P(H1)'!$H$9+'Plan derive'!E9^6*'P(H1)'!$I$9+'Plan derive'!E9^7*'P(H1)'!$J$9+'Plan derive'!E9^8*'P(H1)'!$K$9+'Plan derive'!E9^9*'P(H1)'!$L$9+'Plan derive'!E9^10*'P(H1)'!$M$9</f>
        <v>-0.76899856365937946</v>
      </c>
    </row>
    <row r="15" spans="1:9" x14ac:dyDescent="0.3">
      <c r="A15" s="151" t="s">
        <v>248</v>
      </c>
      <c r="B15" s="193">
        <f>-B4</f>
        <v>-40</v>
      </c>
      <c r="C15" s="182"/>
      <c r="D15" s="193">
        <f>-E4*(1-E5)</f>
        <v>-16.560000000000002</v>
      </c>
    </row>
    <row r="16" spans="1:9" ht="12.9" thickBot="1" x14ac:dyDescent="0.35">
      <c r="A16" s="152" t="s">
        <v>249</v>
      </c>
      <c r="B16" s="194">
        <f>-B4</f>
        <v>-40</v>
      </c>
      <c r="C16" s="191"/>
      <c r="D16" s="194">
        <f>-E4</f>
        <v>-18</v>
      </c>
    </row>
    <row r="17" spans="1:6" ht="12.9" thickBot="1" x14ac:dyDescent="0.35"/>
    <row r="18" spans="1:6" x14ac:dyDescent="0.3">
      <c r="A18" s="163" t="s">
        <v>205</v>
      </c>
      <c r="B18" s="180">
        <v>547.71290593703179</v>
      </c>
      <c r="C18" s="164" t="s">
        <v>187</v>
      </c>
      <c r="D18" s="139" t="s">
        <v>218</v>
      </c>
      <c r="E18" s="178">
        <v>176.32525333294871</v>
      </c>
    </row>
    <row r="19" spans="1:6" ht="12.9" thickBot="1" x14ac:dyDescent="0.35">
      <c r="A19" s="165" t="s">
        <v>207</v>
      </c>
      <c r="B19" s="181">
        <f>'Plan derive'!B18/Gréément!I37</f>
        <v>0.11760149060739299</v>
      </c>
      <c r="C19" s="189" t="s">
        <v>227</v>
      </c>
      <c r="D19" s="139" t="s">
        <v>219</v>
      </c>
      <c r="E19" s="178">
        <v>56.640807041842685</v>
      </c>
    </row>
    <row r="20" spans="1:6" ht="12.9" thickBot="1" x14ac:dyDescent="0.35"/>
    <row r="21" spans="1:6" x14ac:dyDescent="0.3">
      <c r="A21" s="187" t="s">
        <v>206</v>
      </c>
      <c r="B21" s="185">
        <v>45.875118255615234</v>
      </c>
      <c r="D21" s="139" t="s">
        <v>221</v>
      </c>
      <c r="E21" s="184">
        <f>E19/E18</f>
        <v>0.32122912612460486</v>
      </c>
      <c r="F21" s="190" t="s">
        <v>226</v>
      </c>
    </row>
    <row r="22" spans="1:6" ht="12.9" thickBot="1" x14ac:dyDescent="0.35">
      <c r="A22" s="188" t="s">
        <v>250</v>
      </c>
      <c r="B22" s="186">
        <v>-10.15526008605957</v>
      </c>
    </row>
    <row r="23" spans="1:6" ht="12.9" thickBot="1" x14ac:dyDescent="0.35"/>
    <row r="24" spans="1:6" ht="12.9" thickBot="1" x14ac:dyDescent="0.35">
      <c r="A24" s="166" t="s">
        <v>208</v>
      </c>
      <c r="B24" s="179">
        <f>(Gréément!$C$24-'Plan derive'!$B$21)/'Données Générales'!$B$9</f>
        <v>0.10142064696096001</v>
      </c>
      <c r="C24" s="190" t="s">
        <v>228</v>
      </c>
    </row>
    <row r="25" spans="1:6" x14ac:dyDescent="0.3">
      <c r="E25" s="139" t="s">
        <v>233</v>
      </c>
      <c r="F25" s="139" t="s">
        <v>234</v>
      </c>
    </row>
    <row r="26" spans="1:6" x14ac:dyDescent="0.3">
      <c r="D26" s="139" t="s">
        <v>229</v>
      </c>
      <c r="E26" s="139">
        <v>2.4</v>
      </c>
      <c r="F26" s="199">
        <f>E26/11.4*1000</f>
        <v>210.52631578947367</v>
      </c>
    </row>
    <row r="28" spans="1:6" x14ac:dyDescent="0.3">
      <c r="D28" s="139" t="s">
        <v>231</v>
      </c>
      <c r="E28" s="199">
        <f>(E18+E19)*0.5+F26</f>
        <v>327.00934597686938</v>
      </c>
      <c r="F28" s="139" t="s">
        <v>190</v>
      </c>
    </row>
    <row r="29" spans="1:6" x14ac:dyDescent="0.3">
      <c r="D29" s="139" t="s">
        <v>232</v>
      </c>
      <c r="E29" s="197">
        <f>E28/1000*1.025</f>
        <v>0.33518457962629106</v>
      </c>
      <c r="F29" s="139" t="s">
        <v>230</v>
      </c>
    </row>
  </sheetData>
  <mergeCells count="2">
    <mergeCell ref="D7:E7"/>
    <mergeCell ref="B7:C7"/>
  </mergeCells>
  <phoneticPr fontId="2" type="noConversion"/>
  <pageMargins left="0.75" right="0.75" top="1" bottom="1" header="0.4921259845" footer="0.4921259845"/>
  <headerFooter alignWithMargins="0"/>
  <drawing r:id="rId1"/>
  <legacyDrawing r:id="rId2"/>
  <controls>
    <mc:AlternateContent xmlns:mc="http://schemas.openxmlformats.org/markup-compatibility/2006">
      <mc:Choice Requires="x14">
        <control shapeId="15379" r:id="rId3" name="CommandButton1">
          <controlPr defaultSize="0" autoLine="0" r:id="rId4">
            <anchor moveWithCells="1">
              <from>
                <xdr:col>0</xdr:col>
                <xdr:colOff>10886</xdr:colOff>
                <xdr:row>25</xdr:row>
                <xdr:rowOff>87086</xdr:rowOff>
              </from>
              <to>
                <xdr:col>1</xdr:col>
                <xdr:colOff>163286</xdr:colOff>
                <xdr:row>27</xdr:row>
                <xdr:rowOff>103414</xdr:rowOff>
              </to>
            </anchor>
          </controlPr>
        </control>
      </mc:Choice>
      <mc:Fallback>
        <control shapeId="1537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63"/>
  <sheetViews>
    <sheetView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18" sqref="B18"/>
    </sheetView>
  </sheetViews>
  <sheetFormatPr defaultColWidth="11.3828125" defaultRowHeight="12.45" x14ac:dyDescent="0.3"/>
  <cols>
    <col min="1" max="1" width="7.53515625" style="81" bestFit="1" customWidth="1"/>
    <col min="2" max="2" width="10.3046875" style="81" bestFit="1" customWidth="1"/>
    <col min="3" max="3" width="5.53515625" style="81" bestFit="1" customWidth="1"/>
    <col min="4" max="4" width="7" style="81" bestFit="1" customWidth="1"/>
    <col min="5" max="5" width="7.84375" style="81" bestFit="1" customWidth="1"/>
    <col min="6" max="6" width="9.3046875" style="126" bestFit="1" customWidth="1"/>
    <col min="7" max="7" width="7.84375" style="81" bestFit="1" customWidth="1"/>
    <col min="8" max="8" width="5.53515625" style="81" bestFit="1" customWidth="1"/>
    <col min="9" max="9" width="6.53515625" style="81" bestFit="1" customWidth="1"/>
    <col min="10" max="10" width="4.53515625" style="81" bestFit="1" customWidth="1"/>
    <col min="11" max="11" width="5.84375" style="81" bestFit="1" customWidth="1"/>
    <col min="12" max="12" width="6.84375" style="81" bestFit="1" customWidth="1"/>
    <col min="13" max="13" width="10.69140625" style="81" bestFit="1" customWidth="1"/>
    <col min="14" max="14" width="5.53515625" style="81" bestFit="1" customWidth="1"/>
    <col min="15" max="15" width="5.15234375" style="81" bestFit="1" customWidth="1"/>
    <col min="16" max="16" width="8.53515625" style="126" bestFit="1" customWidth="1"/>
    <col min="17" max="17" width="6.84375" style="81" bestFit="1" customWidth="1"/>
    <col min="18" max="18" width="7.3046875" style="81" bestFit="1" customWidth="1"/>
    <col min="19" max="19" width="9.84375" style="81" bestFit="1" customWidth="1"/>
    <col min="20" max="20" width="12.3828125" style="81" bestFit="1" customWidth="1"/>
    <col min="21" max="21" width="13.84375" style="81" bestFit="1" customWidth="1"/>
    <col min="22" max="16384" width="11.3828125" style="81"/>
  </cols>
  <sheetData>
    <row r="1" spans="1:24" ht="12.75" customHeight="1" x14ac:dyDescent="0.3">
      <c r="A1" s="232" t="s">
        <v>119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4"/>
      <c r="X1" s="90"/>
    </row>
    <row r="2" spans="1:24" ht="12.9" thickBot="1" x14ac:dyDescent="0.35">
      <c r="A2" s="235"/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236"/>
      <c r="P2" s="236"/>
      <c r="Q2" s="236"/>
      <c r="R2" s="236"/>
      <c r="S2" s="237"/>
      <c r="X2" s="90"/>
    </row>
    <row r="3" spans="1:24" x14ac:dyDescent="0.3">
      <c r="U3" s="81" t="str">
        <f>IF(L4&lt;&gt;"","Non_vide","Vide")</f>
        <v>Vide</v>
      </c>
      <c r="X3" s="90"/>
    </row>
    <row r="4" spans="1:24" x14ac:dyDescent="0.3">
      <c r="B4" s="239" t="s">
        <v>76</v>
      </c>
      <c r="C4" s="239"/>
      <c r="D4" s="82">
        <v>17207.21875</v>
      </c>
      <c r="E4" s="83" t="s">
        <v>190</v>
      </c>
      <c r="F4" s="133" t="s">
        <v>136</v>
      </c>
      <c r="G4" s="85">
        <v>41.359951019287109</v>
      </c>
      <c r="H4" s="85"/>
      <c r="J4" s="84" t="s">
        <v>128</v>
      </c>
      <c r="K4" s="84" t="s">
        <v>80</v>
      </c>
      <c r="M4" s="84" t="s">
        <v>132</v>
      </c>
      <c r="N4" s="238">
        <v>0.56852584125819328</v>
      </c>
      <c r="O4" s="238"/>
      <c r="Q4" s="81" t="s">
        <v>177</v>
      </c>
      <c r="R4" s="81">
        <v>100</v>
      </c>
      <c r="X4" s="90"/>
    </row>
    <row r="5" spans="1:24" x14ac:dyDescent="0.3">
      <c r="B5" s="239" t="s">
        <v>116</v>
      </c>
      <c r="C5" s="239"/>
      <c r="D5" s="82">
        <v>3316.53125</v>
      </c>
      <c r="E5" s="83" t="s">
        <v>187</v>
      </c>
      <c r="F5" s="134"/>
      <c r="G5" s="85">
        <v>6.6484224834920873E-17</v>
      </c>
      <c r="H5" s="85"/>
      <c r="K5" s="84" t="s">
        <v>82</v>
      </c>
      <c r="M5" s="84" t="s">
        <v>133</v>
      </c>
      <c r="N5" s="238">
        <v>0.38455192286604256</v>
      </c>
      <c r="O5" s="238"/>
      <c r="Q5" s="81" t="s">
        <v>178</v>
      </c>
      <c r="R5" s="81">
        <v>60</v>
      </c>
      <c r="X5" s="90"/>
    </row>
    <row r="6" spans="1:24" x14ac:dyDescent="0.3">
      <c r="B6" s="83"/>
      <c r="C6" s="83"/>
      <c r="D6" s="82"/>
      <c r="E6" s="83"/>
      <c r="F6" s="134"/>
      <c r="G6" s="85">
        <v>2.96376633644104</v>
      </c>
      <c r="H6" s="86"/>
      <c r="K6" s="84" t="s">
        <v>81</v>
      </c>
      <c r="T6" s="81" t="s">
        <v>196</v>
      </c>
      <c r="U6" s="81">
        <v>20</v>
      </c>
      <c r="V6" s="137" t="s">
        <v>197</v>
      </c>
      <c r="X6" s="90"/>
    </row>
    <row r="7" spans="1:24" x14ac:dyDescent="0.3">
      <c r="A7" s="239" t="s">
        <v>127</v>
      </c>
      <c r="B7" s="239"/>
      <c r="C7" s="239"/>
      <c r="D7" s="82">
        <v>3541.581787109375</v>
      </c>
      <c r="E7" s="83" t="s">
        <v>190</v>
      </c>
      <c r="F7" s="133" t="s">
        <v>137</v>
      </c>
      <c r="G7" s="85">
        <v>46.486568450927734</v>
      </c>
      <c r="H7" s="85"/>
      <c r="I7" s="231" t="s">
        <v>236</v>
      </c>
      <c r="J7" s="231"/>
      <c r="K7" s="231"/>
      <c r="L7" s="231"/>
      <c r="M7" s="84" t="s">
        <v>134</v>
      </c>
      <c r="N7" s="81">
        <v>99</v>
      </c>
      <c r="T7" s="81" t="s">
        <v>184</v>
      </c>
      <c r="U7" s="81">
        <v>5</v>
      </c>
      <c r="V7" s="137" t="s">
        <v>185</v>
      </c>
      <c r="X7" s="90"/>
    </row>
    <row r="8" spans="1:24" x14ac:dyDescent="0.3">
      <c r="B8" s="239" t="s">
        <v>110</v>
      </c>
      <c r="C8" s="239"/>
      <c r="D8" s="87">
        <v>3.6301212310791016</v>
      </c>
      <c r="E8" s="83" t="s">
        <v>230</v>
      </c>
      <c r="G8" s="85">
        <v>2.7125766910440774E-12</v>
      </c>
      <c r="H8" s="85"/>
      <c r="I8" s="231" t="s">
        <v>237</v>
      </c>
      <c r="J8" s="231"/>
      <c r="K8" s="231"/>
      <c r="L8" s="231"/>
      <c r="M8" s="84" t="s">
        <v>135</v>
      </c>
      <c r="N8" s="90">
        <v>25.710992813110352</v>
      </c>
      <c r="T8" s="81" t="s">
        <v>198</v>
      </c>
      <c r="U8" s="92">
        <f>Gréément!I37/10000</f>
        <v>0.46573636363636362</v>
      </c>
      <c r="V8" s="137" t="s">
        <v>199</v>
      </c>
      <c r="X8" s="90"/>
    </row>
    <row r="9" spans="1:24" x14ac:dyDescent="0.3">
      <c r="B9" s="239" t="s">
        <v>117</v>
      </c>
      <c r="C9" s="239"/>
      <c r="D9" s="82">
        <v>1598.2386474609375</v>
      </c>
      <c r="E9" s="83" t="s">
        <v>187</v>
      </c>
      <c r="G9" s="85">
        <v>-1.6630966663360596</v>
      </c>
      <c r="H9" s="85"/>
      <c r="T9" s="81" t="s">
        <v>201</v>
      </c>
      <c r="U9" s="138">
        <f>(Gréément!C24-IF(Resultats!L4&lt;&gt;"",Resultats!L4,Resultats!G7))/Resultats!H13</f>
        <v>9.8190086180885289E-2</v>
      </c>
      <c r="X9" s="90"/>
    </row>
    <row r="10" spans="1:24" ht="12.9" thickBot="1" x14ac:dyDescent="0.35">
      <c r="B10" s="88"/>
      <c r="C10" s="88"/>
      <c r="X10" s="90"/>
    </row>
    <row r="11" spans="1:24" x14ac:dyDescent="0.3">
      <c r="A11" s="116" t="s">
        <v>120</v>
      </c>
      <c r="B11" s="117" t="s">
        <v>121</v>
      </c>
      <c r="C11" s="117" t="s">
        <v>111</v>
      </c>
      <c r="D11" s="117" t="s">
        <v>138</v>
      </c>
      <c r="E11" s="117" t="s">
        <v>125</v>
      </c>
      <c r="F11" s="127" t="s">
        <v>123</v>
      </c>
      <c r="G11" s="117" t="s">
        <v>139</v>
      </c>
      <c r="H11" s="117" t="s">
        <v>130</v>
      </c>
      <c r="I11" s="117" t="s">
        <v>129</v>
      </c>
      <c r="J11" s="117" t="s">
        <v>131</v>
      </c>
      <c r="K11" s="118" t="s">
        <v>141</v>
      </c>
      <c r="L11" s="118" t="s">
        <v>142</v>
      </c>
      <c r="M11" s="117" t="s">
        <v>143</v>
      </c>
      <c r="N11" s="119" t="s">
        <v>112</v>
      </c>
      <c r="O11" s="119" t="s">
        <v>113</v>
      </c>
      <c r="P11" s="127" t="s">
        <v>124</v>
      </c>
      <c r="Q11" s="119" t="s">
        <v>140</v>
      </c>
      <c r="R11" s="119" t="s">
        <v>122</v>
      </c>
      <c r="S11" s="120" t="s">
        <v>126</v>
      </c>
      <c r="T11" s="135" t="s">
        <v>195</v>
      </c>
      <c r="U11" s="135" t="s">
        <v>200</v>
      </c>
      <c r="X11" s="90"/>
    </row>
    <row r="12" spans="1:24" ht="12.9" thickBot="1" x14ac:dyDescent="0.35">
      <c r="A12" s="121" t="s">
        <v>189</v>
      </c>
      <c r="B12" s="122" t="s">
        <v>189</v>
      </c>
      <c r="C12" s="123" t="s">
        <v>186</v>
      </c>
      <c r="D12" s="123" t="s">
        <v>187</v>
      </c>
      <c r="E12" s="123" t="s">
        <v>188</v>
      </c>
      <c r="F12" s="128" t="s">
        <v>191</v>
      </c>
      <c r="G12" s="123" t="s">
        <v>187</v>
      </c>
      <c r="H12" s="123" t="s">
        <v>186</v>
      </c>
      <c r="I12" s="123" t="s">
        <v>186</v>
      </c>
      <c r="J12" s="123" t="s">
        <v>186</v>
      </c>
      <c r="K12" s="123" t="s">
        <v>187</v>
      </c>
      <c r="L12" s="123" t="s">
        <v>186</v>
      </c>
      <c r="M12" s="123" t="s">
        <v>189</v>
      </c>
      <c r="N12" s="123" t="s">
        <v>186</v>
      </c>
      <c r="O12" s="123" t="s">
        <v>186</v>
      </c>
      <c r="P12" s="128" t="s">
        <v>191</v>
      </c>
      <c r="Q12" s="123" t="s">
        <v>186</v>
      </c>
      <c r="R12" s="123" t="s">
        <v>190</v>
      </c>
      <c r="S12" s="124" t="s">
        <v>188</v>
      </c>
      <c r="T12" s="136" t="s">
        <v>186</v>
      </c>
      <c r="U12" s="136"/>
    </row>
    <row r="13" spans="1:24" s="90" customFormat="1" x14ac:dyDescent="0.3">
      <c r="A13" s="90">
        <v>0</v>
      </c>
      <c r="B13" s="90">
        <v>0</v>
      </c>
      <c r="C13" s="90">
        <v>46.447322230262671</v>
      </c>
      <c r="D13" s="91">
        <v>1604.9020305688568</v>
      </c>
      <c r="E13" s="90">
        <v>0</v>
      </c>
      <c r="F13" s="131">
        <v>-9.4242852897653707E-11</v>
      </c>
      <c r="G13" s="90">
        <v>0</v>
      </c>
      <c r="H13" s="93">
        <v>96.029998779296875</v>
      </c>
      <c r="I13" s="90">
        <v>20.276443481445313</v>
      </c>
      <c r="J13" s="93">
        <v>4.8480539321899414</v>
      </c>
      <c r="K13" s="93">
        <v>66.491172790527344</v>
      </c>
      <c r="L13" s="93">
        <v>45.540000915527344</v>
      </c>
      <c r="M13" s="90">
        <v>0</v>
      </c>
      <c r="N13" s="125">
        <v>-7.1456471188268701E-19</v>
      </c>
      <c r="O13" s="125">
        <v>-1.6474695277555069</v>
      </c>
      <c r="P13" s="129">
        <v>-1.3635455902770208</v>
      </c>
      <c r="Q13" s="125">
        <v>2.45361328125E-2</v>
      </c>
      <c r="R13" s="114">
        <v>3575.0782536931024</v>
      </c>
      <c r="S13" s="115">
        <v>0.94580835103988647</v>
      </c>
      <c r="T13" s="90">
        <v>0</v>
      </c>
      <c r="U13" s="90">
        <v>-116.61335933256531</v>
      </c>
      <c r="V13" s="90">
        <f>U13+F13</f>
        <v>-116.61335933265956</v>
      </c>
    </row>
    <row r="14" spans="1:24" s="90" customFormat="1" x14ac:dyDescent="0.3">
      <c r="A14" s="90">
        <v>6</v>
      </c>
      <c r="B14" s="90">
        <v>0</v>
      </c>
      <c r="C14" s="90">
        <v>46.235105590416786</v>
      </c>
      <c r="D14" s="91">
        <v>1600.4951690167895</v>
      </c>
      <c r="E14" s="90">
        <v>-0.27458757407798295</v>
      </c>
      <c r="F14" s="131">
        <v>34.221011838772213</v>
      </c>
      <c r="G14" s="90">
        <v>0</v>
      </c>
      <c r="H14" s="93">
        <v>96.029998779296875</v>
      </c>
      <c r="I14" s="90">
        <v>20.158157348632813</v>
      </c>
      <c r="J14" s="93">
        <v>4.8354310989379883</v>
      </c>
      <c r="K14" s="93">
        <v>66.28436279296875</v>
      </c>
      <c r="L14" s="93">
        <v>45.540000915527344</v>
      </c>
      <c r="M14" s="90">
        <v>-1.2188387234603966</v>
      </c>
      <c r="N14" s="125">
        <v>0.98340113414061059</v>
      </c>
      <c r="O14" s="125">
        <v>-1.5964722712783375</v>
      </c>
      <c r="P14" s="129">
        <v>-8.7365282811511307</v>
      </c>
      <c r="Q14" s="125">
        <v>-2.5028228759765625E-2</v>
      </c>
      <c r="R14" s="114">
        <v>3575.0452604829334</v>
      </c>
      <c r="S14" s="115">
        <v>0.94487679004669189</v>
      </c>
      <c r="T14" s="90">
        <v>7.7599645236312647</v>
      </c>
    </row>
    <row r="15" spans="1:24" s="90" customFormat="1" x14ac:dyDescent="0.3">
      <c r="A15" s="90">
        <v>12</v>
      </c>
      <c r="B15" s="90">
        <v>0</v>
      </c>
      <c r="C15" s="90">
        <v>45.621423993499633</v>
      </c>
      <c r="D15" s="91">
        <v>1595.0122370303111</v>
      </c>
      <c r="E15" s="90">
        <v>-0.61622412771453172</v>
      </c>
      <c r="F15" s="131">
        <v>67.53525367578446</v>
      </c>
      <c r="G15" s="90">
        <v>0.71439607900495106</v>
      </c>
      <c r="H15" s="93">
        <v>98.010002136230469</v>
      </c>
      <c r="I15" s="90">
        <v>19.854434967041016</v>
      </c>
      <c r="J15" s="93">
        <v>4.8219079971313477</v>
      </c>
      <c r="K15" s="93">
        <v>65.734954833984375</v>
      </c>
      <c r="L15" s="93">
        <v>44.549999237060547</v>
      </c>
      <c r="M15" s="90">
        <v>-2.2553221410785622</v>
      </c>
      <c r="N15" s="125">
        <v>1.941235448033221</v>
      </c>
      <c r="O15" s="125">
        <v>-1.4464566383088389</v>
      </c>
      <c r="P15" s="129">
        <v>-30.057623433655863</v>
      </c>
      <c r="Q15" s="125">
        <v>-0.17303466796875</v>
      </c>
      <c r="R15" s="114">
        <v>3574.6459265305098</v>
      </c>
      <c r="S15" s="115">
        <v>0.93360120058059692</v>
      </c>
      <c r="T15" s="90">
        <v>7.686338100095143</v>
      </c>
    </row>
    <row r="16" spans="1:24" s="90" customFormat="1" x14ac:dyDescent="0.3">
      <c r="A16" s="90">
        <v>18</v>
      </c>
      <c r="B16" s="90">
        <v>0</v>
      </c>
      <c r="C16" s="90">
        <v>44.715525059438576</v>
      </c>
      <c r="D16" s="91">
        <v>1578.4286383484186</v>
      </c>
      <c r="E16" s="90">
        <v>-1.6495332248445544</v>
      </c>
      <c r="F16" s="131">
        <v>99.137965998477156</v>
      </c>
      <c r="G16" s="90">
        <v>3.1927557996682161</v>
      </c>
      <c r="H16" s="93">
        <v>97.019996643066406</v>
      </c>
      <c r="I16" s="90">
        <v>19.484420776367188</v>
      </c>
      <c r="J16" s="93">
        <v>4.8399190902709961</v>
      </c>
      <c r="K16" s="93">
        <v>65.053749084472656</v>
      </c>
      <c r="L16" s="93">
        <v>44.549999237060547</v>
      </c>
      <c r="M16" s="90">
        <v>-2.9223203589605555</v>
      </c>
      <c r="N16" s="125">
        <v>2.851558140883919</v>
      </c>
      <c r="O16" s="125">
        <v>-1.205258316601026</v>
      </c>
      <c r="P16" s="129">
        <v>-61.531198194095552</v>
      </c>
      <c r="Q16" s="125">
        <v>-0.41384124755859375</v>
      </c>
      <c r="R16" s="114">
        <v>3573.7654213704595</v>
      </c>
      <c r="S16" s="115">
        <v>0.90873926877975464</v>
      </c>
      <c r="T16" s="90">
        <v>7.5709352288954834</v>
      </c>
    </row>
    <row r="17" spans="1:20" s="90" customFormat="1" x14ac:dyDescent="0.3">
      <c r="A17" s="90">
        <v>24</v>
      </c>
      <c r="B17" s="90">
        <v>0</v>
      </c>
      <c r="C17" s="90">
        <v>43.583341470202313</v>
      </c>
      <c r="D17" s="91">
        <v>1558.474833597513</v>
      </c>
      <c r="E17" s="90">
        <v>-2.8928368266122604</v>
      </c>
      <c r="F17" s="131">
        <v>128.94504394562654</v>
      </c>
      <c r="G17" s="90">
        <v>5.9622960859065177</v>
      </c>
      <c r="H17" s="93">
        <v>96.029998779296875</v>
      </c>
      <c r="I17" s="90">
        <v>19.171581268310547</v>
      </c>
      <c r="J17" s="93">
        <v>4.9056262969970703</v>
      </c>
      <c r="K17" s="93">
        <v>64.444625854492188</v>
      </c>
      <c r="L17" s="93">
        <v>43.560001373291016</v>
      </c>
      <c r="M17" s="90">
        <v>-3.5672123569862593</v>
      </c>
      <c r="N17" s="125">
        <v>3.7130169126382895</v>
      </c>
      <c r="O17" s="125">
        <v>-0.87783285677513456</v>
      </c>
      <c r="P17" s="129">
        <v>-100.86667249296978</v>
      </c>
      <c r="Q17" s="125">
        <v>-0.744049072265625</v>
      </c>
      <c r="R17" s="114">
        <v>3572.8189428541154</v>
      </c>
      <c r="S17" s="115">
        <v>0.88201451301574707</v>
      </c>
      <c r="T17" s="90">
        <v>7.461739671138762</v>
      </c>
    </row>
    <row r="18" spans="1:20" s="90" customFormat="1" x14ac:dyDescent="0.3">
      <c r="A18" s="90">
        <v>29.999999999999996</v>
      </c>
      <c r="B18" s="90">
        <v>0</v>
      </c>
      <c r="C18" s="90">
        <v>42.24226474146041</v>
      </c>
      <c r="D18" s="91">
        <v>1550.1570379451382</v>
      </c>
      <c r="E18" s="90">
        <v>-3.4111111819276783</v>
      </c>
      <c r="F18" s="131">
        <v>157.45119908488451</v>
      </c>
      <c r="G18" s="90">
        <v>8.9524053118391294</v>
      </c>
      <c r="H18" s="93">
        <v>94.050003051757813</v>
      </c>
      <c r="I18" s="90">
        <v>19.00410270690918</v>
      </c>
      <c r="J18" s="93">
        <v>5.0064487457275391</v>
      </c>
      <c r="K18" s="93">
        <v>64.025123596191406</v>
      </c>
      <c r="L18" s="93">
        <v>42.569999694824219</v>
      </c>
      <c r="M18" s="90">
        <v>-4.230139067852603</v>
      </c>
      <c r="N18" s="125">
        <v>4.5388665100754313</v>
      </c>
      <c r="O18" s="125">
        <v>-0.46085686216143706</v>
      </c>
      <c r="P18" s="129">
        <v>-147.45956008963796</v>
      </c>
      <c r="Q18" s="125">
        <v>-1.1638641357421875</v>
      </c>
      <c r="R18" s="114">
        <v>3571.6902390671962</v>
      </c>
      <c r="S18" s="115">
        <v>0.85014450550079346</v>
      </c>
      <c r="T18" s="90">
        <v>7.4006905420620477</v>
      </c>
    </row>
    <row r="19" spans="1:20" s="90" customFormat="1" x14ac:dyDescent="0.3">
      <c r="A19" s="90">
        <v>36</v>
      </c>
      <c r="B19" s="90">
        <v>0</v>
      </c>
      <c r="C19" s="90">
        <v>40.690066027480405</v>
      </c>
      <c r="D19" s="91">
        <v>1547.9957180226384</v>
      </c>
      <c r="E19" s="90">
        <v>-3.545781079611948</v>
      </c>
      <c r="F19" s="131">
        <v>185.50534049836071</v>
      </c>
      <c r="G19" s="90">
        <v>12.301428584398666</v>
      </c>
      <c r="H19" s="93">
        <v>92.069999694824219</v>
      </c>
      <c r="I19" s="90">
        <v>19.055698394775391</v>
      </c>
      <c r="J19" s="93">
        <v>5.106684684753418</v>
      </c>
      <c r="K19" s="93">
        <v>63.879642486572266</v>
      </c>
      <c r="L19" s="93">
        <v>40.590000152587891</v>
      </c>
      <c r="M19" s="90">
        <v>-4.9432249148187015</v>
      </c>
      <c r="N19" s="125">
        <v>5.3478397131278497</v>
      </c>
      <c r="O19" s="125">
        <v>6.0114974448534086E-2</v>
      </c>
      <c r="P19" s="129">
        <v>-201.38739320308164</v>
      </c>
      <c r="Q19" s="125">
        <v>-1.6761703491210938</v>
      </c>
      <c r="R19" s="114">
        <v>3570.3506315032059</v>
      </c>
      <c r="S19" s="115">
        <v>0.81231933832168579</v>
      </c>
      <c r="T19" s="90">
        <v>7.4207848691754537</v>
      </c>
    </row>
    <row r="20" spans="1:20" s="90" customFormat="1" x14ac:dyDescent="0.3">
      <c r="A20" s="90">
        <v>42</v>
      </c>
      <c r="B20" s="90">
        <v>0</v>
      </c>
      <c r="C20" s="90">
        <v>38.935271854973323</v>
      </c>
      <c r="D20" s="91">
        <v>2523.9492884415004</v>
      </c>
      <c r="E20" s="90">
        <v>57.265006858199783</v>
      </c>
      <c r="F20" s="131">
        <v>213.89857709105135</v>
      </c>
      <c r="G20" s="90">
        <v>16.338773540150481</v>
      </c>
      <c r="H20" s="93">
        <v>89.099998474121094</v>
      </c>
      <c r="I20" s="90">
        <v>18.614391326904297</v>
      </c>
      <c r="J20" s="93">
        <v>5.1695022583007813</v>
      </c>
      <c r="K20" s="93">
        <v>64.057868957519531</v>
      </c>
      <c r="L20" s="93">
        <v>38.610000610351563</v>
      </c>
      <c r="M20" s="90">
        <v>-4.9224206587510988</v>
      </c>
      <c r="N20" s="125">
        <v>6.1508370004569759</v>
      </c>
      <c r="O20" s="125">
        <v>0.70661566906614182</v>
      </c>
      <c r="P20" s="129">
        <v>-262.35409153038671</v>
      </c>
      <c r="Q20" s="125">
        <v>-2.2854995727539063</v>
      </c>
      <c r="R20" s="114">
        <v>3568.5356462375712</v>
      </c>
      <c r="S20" s="115">
        <v>0.76107150316238403</v>
      </c>
      <c r="T20" s="90">
        <v>7.5378122184481118</v>
      </c>
    </row>
    <row r="21" spans="1:20" s="90" customFormat="1" x14ac:dyDescent="0.3">
      <c r="A21" s="90">
        <v>48</v>
      </c>
      <c r="B21" s="90">
        <v>0</v>
      </c>
      <c r="C21" s="90">
        <v>37.223384793012833</v>
      </c>
      <c r="D21" s="91">
        <v>2599.4986677974557</v>
      </c>
      <c r="E21" s="90">
        <v>61.972420639038297</v>
      </c>
      <c r="F21" s="131">
        <v>239.33341821098776</v>
      </c>
      <c r="G21" s="90">
        <v>20.650362802031825</v>
      </c>
      <c r="H21" s="93">
        <v>85.139999389648438</v>
      </c>
      <c r="I21" s="90">
        <v>16.933061599731445</v>
      </c>
      <c r="J21" s="93">
        <v>5.1930055618286133</v>
      </c>
      <c r="K21" s="93">
        <v>64.58929443359375</v>
      </c>
      <c r="L21" s="93">
        <v>37.619998931884766</v>
      </c>
      <c r="M21" s="90">
        <v>-4.2148121692015401</v>
      </c>
      <c r="N21" s="125">
        <v>6.8632615972758932</v>
      </c>
      <c r="O21" s="125">
        <v>1.4268508467797374</v>
      </c>
      <c r="P21" s="129">
        <v>-321.83005071392387</v>
      </c>
      <c r="Q21" s="125">
        <v>-2.9680595397949219</v>
      </c>
      <c r="R21" s="114">
        <v>3566.6598489959433</v>
      </c>
      <c r="S21" s="115">
        <v>0.70810651779174805</v>
      </c>
      <c r="T21" s="90">
        <v>7.6065593460410046</v>
      </c>
    </row>
    <row r="22" spans="1:20" s="90" customFormat="1" x14ac:dyDescent="0.3">
      <c r="A22" s="90">
        <v>54</v>
      </c>
      <c r="B22" s="90">
        <v>0</v>
      </c>
      <c r="C22" s="90">
        <v>35.786664133120738</v>
      </c>
      <c r="D22" s="91">
        <v>2559.4861769187683</v>
      </c>
      <c r="E22" s="90">
        <v>59.479278371375699</v>
      </c>
      <c r="F22" s="131">
        <v>257.8245734213441</v>
      </c>
      <c r="G22" s="90">
        <v>24.563317446255212</v>
      </c>
      <c r="H22" s="93">
        <v>82.169998168945313</v>
      </c>
      <c r="I22" s="90">
        <v>15.657890319824219</v>
      </c>
      <c r="J22" s="93">
        <v>5.1950836181640625</v>
      </c>
      <c r="K22" s="93">
        <v>65.135841369628906</v>
      </c>
      <c r="L22" s="93">
        <v>35.639999389648438</v>
      </c>
      <c r="M22" s="90">
        <v>-3.4983228249023419</v>
      </c>
      <c r="N22" s="125">
        <v>7.4076205519306813</v>
      </c>
      <c r="O22" s="125">
        <v>2.1277197164401147</v>
      </c>
      <c r="P22" s="129">
        <v>-371.74595596276959</v>
      </c>
      <c r="Q22" s="125">
        <v>-3.6874923706054688</v>
      </c>
      <c r="R22" s="114">
        <v>3564.7039473444697</v>
      </c>
      <c r="S22" s="115">
        <v>0.65287971496582031</v>
      </c>
      <c r="T22" s="90">
        <v>7.5096710787442991</v>
      </c>
    </row>
    <row r="23" spans="1:20" s="90" customFormat="1" x14ac:dyDescent="0.3">
      <c r="A23" s="90">
        <v>59.999999999999993</v>
      </c>
      <c r="B23" s="90">
        <v>0</v>
      </c>
      <c r="C23" s="90">
        <v>34.715203185680728</v>
      </c>
      <c r="D23" s="91">
        <v>2513.8581526803014</v>
      </c>
      <c r="E23" s="90">
        <v>56.636237277939351</v>
      </c>
      <c r="F23" s="131">
        <v>267.49408860895699</v>
      </c>
      <c r="G23" s="90">
        <v>27.873307957039597</v>
      </c>
      <c r="H23" s="93">
        <v>80.19000244140625</v>
      </c>
      <c r="I23" s="90">
        <v>13.733236312866211</v>
      </c>
      <c r="J23" s="93">
        <v>5.1993122100830078</v>
      </c>
      <c r="K23" s="93">
        <v>65.442665100097656</v>
      </c>
      <c r="L23" s="93">
        <v>34.650001525878906</v>
      </c>
      <c r="M23" s="90">
        <v>-2.8139527091485661</v>
      </c>
      <c r="N23" s="125">
        <v>7.769041659976363</v>
      </c>
      <c r="O23" s="125">
        <v>2.7417627394151332</v>
      </c>
      <c r="P23" s="129">
        <v>-408.97162616939261</v>
      </c>
      <c r="Q23" s="125">
        <v>-4.4109420776367188</v>
      </c>
      <c r="R23" s="114">
        <v>3562.6883267778976</v>
      </c>
      <c r="S23" s="115">
        <v>0.59596675634384155</v>
      </c>
      <c r="T23" s="90">
        <v>7.2272210331479041</v>
      </c>
    </row>
    <row r="24" spans="1:20" s="90" customFormat="1" x14ac:dyDescent="0.3">
      <c r="D24" s="91"/>
      <c r="F24" s="131"/>
      <c r="H24" s="93"/>
      <c r="L24" s="93"/>
      <c r="N24" s="93"/>
      <c r="O24" s="93"/>
      <c r="P24" s="129"/>
      <c r="Q24" s="93"/>
      <c r="R24" s="91"/>
      <c r="S24" s="92"/>
    </row>
    <row r="25" spans="1:20" s="90" customFormat="1" x14ac:dyDescent="0.3">
      <c r="D25" s="91"/>
      <c r="F25" s="131"/>
      <c r="H25" s="93"/>
      <c r="L25" s="93"/>
      <c r="N25" s="93"/>
      <c r="O25" s="93"/>
      <c r="P25" s="129"/>
      <c r="Q25" s="93"/>
      <c r="R25" s="91"/>
      <c r="S25" s="92"/>
    </row>
    <row r="26" spans="1:20" s="90" customFormat="1" x14ac:dyDescent="0.3">
      <c r="D26" s="91"/>
      <c r="F26" s="131"/>
      <c r="H26" s="93"/>
      <c r="L26" s="93"/>
      <c r="N26" s="93"/>
      <c r="O26" s="93"/>
      <c r="P26" s="129"/>
      <c r="Q26" s="93"/>
      <c r="R26" s="91"/>
      <c r="S26" s="92"/>
    </row>
    <row r="27" spans="1:20" s="90" customFormat="1" x14ac:dyDescent="0.3">
      <c r="D27" s="91"/>
      <c r="F27" s="131"/>
      <c r="H27" s="93"/>
      <c r="L27" s="93"/>
      <c r="N27" s="93"/>
      <c r="O27" s="93"/>
      <c r="P27" s="129"/>
      <c r="Q27" s="93"/>
      <c r="R27" s="91"/>
      <c r="S27" s="92"/>
    </row>
    <row r="28" spans="1:20" s="90" customFormat="1" x14ac:dyDescent="0.3">
      <c r="D28" s="91"/>
      <c r="F28" s="131"/>
      <c r="H28" s="93"/>
      <c r="L28" s="93"/>
      <c r="N28" s="93"/>
      <c r="O28" s="93"/>
      <c r="P28" s="129"/>
      <c r="Q28" s="93"/>
      <c r="R28" s="91"/>
      <c r="S28" s="92"/>
    </row>
    <row r="29" spans="1:20" s="90" customFormat="1" x14ac:dyDescent="0.3">
      <c r="D29" s="91"/>
      <c r="F29" s="131"/>
      <c r="H29" s="93"/>
      <c r="L29" s="93"/>
      <c r="N29" s="93"/>
      <c r="O29" s="93"/>
      <c r="P29" s="129"/>
      <c r="Q29" s="93"/>
      <c r="R29" s="91"/>
      <c r="S29" s="92"/>
    </row>
    <row r="30" spans="1:20" s="90" customFormat="1" x14ac:dyDescent="0.3">
      <c r="D30" s="91"/>
      <c r="F30" s="131"/>
      <c r="H30" s="93"/>
      <c r="L30" s="93"/>
      <c r="N30" s="93"/>
      <c r="O30" s="93"/>
      <c r="P30" s="129"/>
      <c r="Q30" s="93"/>
      <c r="R30" s="91"/>
      <c r="S30" s="92"/>
    </row>
    <row r="31" spans="1:20" s="90" customFormat="1" x14ac:dyDescent="0.3">
      <c r="D31" s="91"/>
      <c r="F31" s="131"/>
      <c r="H31" s="93"/>
      <c r="L31" s="93"/>
      <c r="N31" s="93"/>
      <c r="O31" s="93"/>
      <c r="P31" s="129"/>
      <c r="Q31" s="93"/>
      <c r="R31" s="91"/>
      <c r="S31" s="92"/>
    </row>
    <row r="32" spans="1:20" s="90" customFormat="1" x14ac:dyDescent="0.3">
      <c r="D32" s="91"/>
      <c r="F32" s="131"/>
      <c r="H32" s="93"/>
      <c r="L32" s="93"/>
      <c r="N32" s="93"/>
      <c r="O32" s="93"/>
      <c r="P32" s="129"/>
      <c r="Q32" s="93"/>
      <c r="R32" s="91"/>
      <c r="S32" s="92"/>
    </row>
    <row r="33" spans="1:20" s="90" customFormat="1" x14ac:dyDescent="0.3">
      <c r="D33" s="91"/>
      <c r="F33" s="131"/>
      <c r="H33" s="93"/>
      <c r="L33" s="93"/>
      <c r="N33" s="93"/>
      <c r="O33" s="93"/>
      <c r="P33" s="129"/>
      <c r="Q33" s="93"/>
      <c r="R33" s="91"/>
      <c r="S33" s="92"/>
    </row>
    <row r="34" spans="1:20" s="90" customFormat="1" x14ac:dyDescent="0.3">
      <c r="D34" s="91"/>
      <c r="F34" s="131"/>
      <c r="H34" s="93"/>
      <c r="L34" s="93"/>
      <c r="N34" s="93"/>
      <c r="O34" s="93"/>
      <c r="P34" s="129"/>
      <c r="Q34" s="93"/>
      <c r="R34" s="91"/>
      <c r="S34" s="92"/>
    </row>
    <row r="35" spans="1:20" s="90" customFormat="1" x14ac:dyDescent="0.3">
      <c r="D35" s="91"/>
      <c r="F35" s="131"/>
      <c r="H35" s="93"/>
      <c r="L35" s="93"/>
      <c r="N35" s="93"/>
      <c r="O35" s="93"/>
      <c r="P35" s="129"/>
      <c r="Q35" s="93"/>
      <c r="R35" s="91"/>
      <c r="S35" s="92"/>
    </row>
    <row r="36" spans="1:20" s="90" customFormat="1" x14ac:dyDescent="0.3">
      <c r="D36" s="91"/>
      <c r="F36" s="131"/>
      <c r="H36" s="93"/>
      <c r="L36" s="93"/>
      <c r="N36" s="93"/>
      <c r="O36" s="93"/>
      <c r="P36" s="129"/>
      <c r="Q36" s="93"/>
      <c r="R36" s="91"/>
      <c r="S36" s="92"/>
    </row>
    <row r="37" spans="1:20" s="90" customFormat="1" x14ac:dyDescent="0.3">
      <c r="D37" s="91"/>
      <c r="F37" s="131"/>
      <c r="H37" s="93"/>
      <c r="L37" s="93"/>
      <c r="N37" s="93"/>
      <c r="O37" s="93"/>
      <c r="P37" s="129"/>
      <c r="Q37" s="93"/>
      <c r="R37" s="91"/>
      <c r="S37" s="92"/>
    </row>
    <row r="38" spans="1:20" s="90" customFormat="1" x14ac:dyDescent="0.3">
      <c r="D38" s="91"/>
      <c r="F38" s="131"/>
      <c r="H38" s="93"/>
      <c r="L38" s="93"/>
      <c r="N38" s="93"/>
      <c r="O38" s="93"/>
      <c r="P38" s="129"/>
      <c r="Q38" s="93"/>
      <c r="R38" s="91"/>
      <c r="S38" s="92"/>
    </row>
    <row r="39" spans="1:20" s="90" customFormat="1" x14ac:dyDescent="0.3">
      <c r="D39" s="91"/>
      <c r="F39" s="131"/>
      <c r="H39" s="93"/>
      <c r="L39" s="93"/>
      <c r="N39" s="93"/>
      <c r="O39" s="93"/>
      <c r="P39" s="129"/>
      <c r="Q39" s="93"/>
      <c r="R39" s="91"/>
      <c r="S39" s="92"/>
    </row>
    <row r="40" spans="1:20" s="90" customFormat="1" x14ac:dyDescent="0.3">
      <c r="D40" s="91"/>
      <c r="F40" s="131"/>
      <c r="H40" s="93"/>
      <c r="L40" s="93"/>
      <c r="N40" s="93"/>
      <c r="O40" s="93"/>
      <c r="P40" s="129"/>
      <c r="Q40" s="93"/>
      <c r="R40" s="91"/>
      <c r="S40" s="92"/>
    </row>
    <row r="41" spans="1:20" s="90" customFormat="1" x14ac:dyDescent="0.3">
      <c r="D41" s="91"/>
      <c r="F41" s="131"/>
      <c r="H41" s="93"/>
      <c r="L41" s="93"/>
      <c r="N41" s="93"/>
      <c r="O41" s="93"/>
      <c r="P41" s="129"/>
      <c r="Q41" s="93"/>
      <c r="R41" s="91"/>
      <c r="S41" s="92"/>
    </row>
    <row r="42" spans="1:20" s="90" customFormat="1" x14ac:dyDescent="0.3">
      <c r="D42" s="91"/>
      <c r="F42" s="131"/>
      <c r="H42" s="93"/>
      <c r="L42" s="93"/>
      <c r="N42" s="93"/>
      <c r="O42" s="93"/>
      <c r="P42" s="129"/>
      <c r="Q42" s="93"/>
      <c r="R42" s="91"/>
      <c r="S42" s="92"/>
    </row>
    <row r="43" spans="1:20" x14ac:dyDescent="0.3">
      <c r="A43" s="90"/>
      <c r="B43" s="90"/>
      <c r="C43" s="90"/>
      <c r="D43" s="91"/>
      <c r="E43" s="90"/>
      <c r="F43" s="131"/>
      <c r="G43" s="90"/>
      <c r="H43" s="93"/>
      <c r="I43" s="90"/>
      <c r="J43" s="90"/>
      <c r="K43" s="90"/>
      <c r="L43" s="93"/>
      <c r="M43" s="90"/>
      <c r="N43" s="93"/>
      <c r="O43" s="93"/>
      <c r="P43" s="129"/>
      <c r="Q43" s="93"/>
      <c r="R43" s="91"/>
      <c r="S43" s="92"/>
      <c r="T43" s="90"/>
    </row>
    <row r="44" spans="1:20" x14ac:dyDescent="0.3">
      <c r="A44" s="90"/>
      <c r="B44" s="90"/>
      <c r="C44" s="90"/>
      <c r="D44" s="91"/>
      <c r="E44" s="90"/>
      <c r="F44" s="131"/>
      <c r="G44" s="90"/>
      <c r="H44" s="93"/>
      <c r="I44" s="90"/>
      <c r="J44" s="90"/>
      <c r="K44" s="90"/>
      <c r="L44" s="93"/>
      <c r="M44" s="90"/>
      <c r="N44" s="93"/>
      <c r="O44" s="93"/>
      <c r="P44" s="129"/>
      <c r="Q44" s="93"/>
      <c r="R44" s="91"/>
      <c r="S44" s="92"/>
      <c r="T44" s="90"/>
    </row>
    <row r="45" spans="1:20" x14ac:dyDescent="0.3">
      <c r="A45" s="90"/>
      <c r="B45" s="90"/>
      <c r="C45" s="90"/>
      <c r="D45" s="91"/>
      <c r="E45" s="90"/>
      <c r="F45" s="131"/>
      <c r="G45" s="90"/>
      <c r="H45" s="93"/>
      <c r="I45" s="90"/>
      <c r="J45" s="90"/>
      <c r="K45" s="90"/>
      <c r="L45" s="93"/>
      <c r="M45" s="90"/>
      <c r="N45" s="93"/>
      <c r="O45" s="93"/>
      <c r="P45" s="129"/>
      <c r="Q45" s="93"/>
      <c r="R45" s="91"/>
      <c r="S45" s="92"/>
      <c r="T45" s="90"/>
    </row>
    <row r="46" spans="1:20" x14ac:dyDescent="0.3">
      <c r="A46" s="90"/>
      <c r="B46" s="90"/>
      <c r="C46" s="90"/>
      <c r="D46" s="91"/>
      <c r="E46" s="90"/>
      <c r="F46" s="131"/>
      <c r="G46" s="90"/>
      <c r="H46" s="93"/>
      <c r="I46" s="90"/>
      <c r="J46" s="90"/>
      <c r="K46" s="90"/>
      <c r="L46" s="93"/>
      <c r="M46" s="90"/>
      <c r="N46" s="93"/>
      <c r="O46" s="93"/>
      <c r="P46" s="129"/>
      <c r="Q46" s="93"/>
      <c r="R46" s="91"/>
      <c r="S46" s="92"/>
      <c r="T46" s="90"/>
    </row>
    <row r="47" spans="1:20" x14ac:dyDescent="0.3">
      <c r="A47" s="90"/>
      <c r="B47" s="90"/>
      <c r="C47" s="90"/>
      <c r="D47" s="91"/>
      <c r="E47" s="90"/>
      <c r="F47" s="131"/>
      <c r="G47" s="90"/>
      <c r="H47" s="93"/>
      <c r="I47" s="90"/>
      <c r="J47" s="90"/>
      <c r="K47" s="90"/>
      <c r="L47" s="93"/>
      <c r="M47" s="90"/>
      <c r="N47" s="93"/>
      <c r="O47" s="93"/>
      <c r="P47" s="129"/>
      <c r="Q47" s="93"/>
      <c r="R47" s="91"/>
      <c r="S47" s="92"/>
      <c r="T47" s="90"/>
    </row>
    <row r="48" spans="1:20" x14ac:dyDescent="0.3">
      <c r="A48" s="90"/>
      <c r="B48" s="90"/>
      <c r="C48" s="90"/>
      <c r="D48" s="91"/>
      <c r="E48" s="90"/>
      <c r="F48" s="131"/>
      <c r="G48" s="90"/>
      <c r="H48" s="93"/>
      <c r="I48" s="90"/>
      <c r="J48" s="90"/>
      <c r="K48" s="90"/>
      <c r="L48" s="93"/>
      <c r="M48" s="90"/>
      <c r="N48" s="93"/>
      <c r="O48" s="93"/>
      <c r="P48" s="129"/>
      <c r="Q48" s="93"/>
      <c r="R48" s="91"/>
      <c r="S48" s="92"/>
      <c r="T48" s="90"/>
    </row>
    <row r="49" spans="1:20" x14ac:dyDescent="0.3">
      <c r="A49" s="90"/>
      <c r="B49" s="90"/>
      <c r="C49" s="90"/>
      <c r="D49" s="91"/>
      <c r="E49" s="90"/>
      <c r="F49" s="131"/>
      <c r="G49" s="90"/>
      <c r="H49" s="93"/>
      <c r="I49" s="90"/>
      <c r="J49" s="90"/>
      <c r="K49" s="90"/>
      <c r="L49" s="93"/>
      <c r="M49" s="90"/>
      <c r="N49" s="93"/>
      <c r="O49" s="93"/>
      <c r="P49" s="129"/>
      <c r="Q49" s="93"/>
      <c r="R49" s="91"/>
      <c r="S49" s="92"/>
      <c r="T49" s="90"/>
    </row>
    <row r="50" spans="1:20" x14ac:dyDescent="0.3">
      <c r="A50" s="90"/>
      <c r="B50" s="90"/>
      <c r="C50" s="90"/>
      <c r="D50" s="91"/>
      <c r="E50" s="90"/>
      <c r="F50" s="131"/>
      <c r="G50" s="90"/>
      <c r="H50" s="93"/>
      <c r="I50" s="90"/>
      <c r="J50" s="90"/>
      <c r="K50" s="90"/>
      <c r="L50" s="93"/>
      <c r="M50" s="90"/>
      <c r="N50" s="93"/>
      <c r="O50" s="93"/>
      <c r="P50" s="129"/>
      <c r="Q50" s="93"/>
      <c r="R50" s="91"/>
      <c r="S50" s="92"/>
      <c r="T50" s="90"/>
    </row>
    <row r="51" spans="1:20" x14ac:dyDescent="0.3">
      <c r="A51" s="90"/>
      <c r="B51" s="90"/>
      <c r="C51" s="90"/>
      <c r="D51" s="91"/>
      <c r="E51" s="90"/>
      <c r="F51" s="132"/>
      <c r="G51" s="90"/>
      <c r="H51" s="90"/>
      <c r="I51" s="90"/>
      <c r="J51" s="90"/>
      <c r="K51" s="90"/>
      <c r="L51" s="91"/>
      <c r="M51" s="92"/>
      <c r="N51" s="93"/>
      <c r="O51" s="93"/>
      <c r="P51" s="130"/>
      <c r="Q51" s="93"/>
      <c r="R51" s="93"/>
      <c r="S51" s="92"/>
      <c r="T51" s="90"/>
    </row>
    <row r="52" spans="1:20" x14ac:dyDescent="0.3">
      <c r="A52" s="90"/>
      <c r="B52" s="90"/>
      <c r="C52" s="90"/>
      <c r="D52" s="90"/>
      <c r="E52" s="90"/>
      <c r="F52" s="132"/>
      <c r="G52" s="90"/>
      <c r="H52" s="90"/>
      <c r="I52" s="90"/>
      <c r="J52" s="90"/>
      <c r="K52" s="90"/>
      <c r="L52" s="91"/>
      <c r="M52" s="92"/>
      <c r="N52" s="93"/>
      <c r="O52" s="93"/>
      <c r="P52" s="130"/>
      <c r="Q52" s="93"/>
      <c r="R52" s="93"/>
      <c r="S52" s="92"/>
      <c r="T52" s="90"/>
    </row>
    <row r="53" spans="1:20" x14ac:dyDescent="0.3">
      <c r="A53" s="90"/>
      <c r="B53" s="90"/>
      <c r="C53" s="90"/>
      <c r="D53" s="90"/>
      <c r="E53" s="90"/>
      <c r="F53" s="132"/>
      <c r="G53" s="90"/>
      <c r="H53" s="90"/>
      <c r="I53" s="90"/>
      <c r="J53" s="90"/>
      <c r="K53" s="90"/>
      <c r="L53" s="91"/>
      <c r="M53" s="92"/>
      <c r="N53" s="93"/>
      <c r="O53" s="93"/>
      <c r="P53" s="130"/>
      <c r="Q53" s="93"/>
      <c r="R53" s="93"/>
      <c r="S53" s="92"/>
      <c r="T53" s="90"/>
    </row>
    <row r="54" spans="1:20" x14ac:dyDescent="0.3">
      <c r="A54" s="90"/>
      <c r="B54" s="90"/>
      <c r="C54" s="90"/>
      <c r="D54" s="90"/>
      <c r="E54" s="90"/>
      <c r="F54" s="132"/>
      <c r="G54" s="90"/>
      <c r="H54" s="90"/>
      <c r="I54" s="90"/>
      <c r="J54" s="90"/>
      <c r="K54" s="90"/>
      <c r="L54" s="91"/>
      <c r="M54" s="92"/>
    </row>
    <row r="55" spans="1:20" x14ac:dyDescent="0.3">
      <c r="A55" s="90"/>
      <c r="B55" s="90"/>
      <c r="C55" s="90"/>
      <c r="D55" s="90"/>
      <c r="E55" s="90"/>
      <c r="F55" s="132"/>
      <c r="G55" s="90"/>
      <c r="H55" s="90"/>
      <c r="I55" s="90"/>
      <c r="J55" s="90"/>
      <c r="K55" s="90"/>
      <c r="L55" s="91"/>
      <c r="M55" s="92"/>
    </row>
    <row r="56" spans="1:20" x14ac:dyDescent="0.3">
      <c r="A56" s="90"/>
      <c r="B56" s="90"/>
      <c r="C56" s="90"/>
      <c r="D56" s="90"/>
      <c r="E56" s="90"/>
      <c r="F56" s="132"/>
      <c r="G56" s="90"/>
      <c r="H56" s="90"/>
      <c r="I56" s="90"/>
      <c r="J56" s="90"/>
      <c r="K56" s="90"/>
      <c r="L56" s="91"/>
      <c r="M56" s="92"/>
    </row>
    <row r="57" spans="1:20" x14ac:dyDescent="0.3">
      <c r="A57" s="90"/>
      <c r="B57" s="90"/>
      <c r="C57" s="90"/>
      <c r="D57" s="90"/>
      <c r="E57" s="90"/>
      <c r="F57" s="132"/>
      <c r="G57" s="90"/>
      <c r="H57" s="90"/>
      <c r="I57" s="90"/>
      <c r="J57" s="90"/>
      <c r="K57" s="90"/>
      <c r="L57" s="91"/>
      <c r="M57" s="92"/>
    </row>
    <row r="58" spans="1:20" x14ac:dyDescent="0.3">
      <c r="A58" s="90"/>
      <c r="B58" s="90"/>
      <c r="C58" s="90"/>
      <c r="D58" s="90"/>
      <c r="E58" s="90"/>
      <c r="F58" s="132"/>
      <c r="G58" s="90"/>
      <c r="H58" s="90"/>
      <c r="I58" s="90"/>
      <c r="J58" s="90"/>
      <c r="K58" s="90"/>
      <c r="L58" s="91"/>
      <c r="M58" s="92"/>
    </row>
    <row r="59" spans="1:20" x14ac:dyDescent="0.3">
      <c r="A59" s="90"/>
      <c r="B59" s="90"/>
      <c r="C59" s="90"/>
      <c r="D59" s="90"/>
      <c r="E59" s="90"/>
      <c r="F59" s="132"/>
      <c r="G59" s="90"/>
      <c r="H59" s="90"/>
      <c r="I59" s="90"/>
      <c r="J59" s="90"/>
      <c r="K59" s="90"/>
      <c r="L59" s="91"/>
      <c r="M59" s="92"/>
    </row>
    <row r="60" spans="1:20" x14ac:dyDescent="0.3">
      <c r="A60" s="90"/>
      <c r="B60" s="90"/>
      <c r="C60" s="90"/>
      <c r="D60" s="90"/>
      <c r="E60" s="90"/>
      <c r="F60" s="132"/>
      <c r="G60" s="90"/>
      <c r="H60" s="90"/>
      <c r="I60" s="90"/>
      <c r="J60" s="90"/>
      <c r="K60" s="90"/>
      <c r="L60" s="91"/>
      <c r="M60" s="92"/>
    </row>
    <row r="61" spans="1:20" x14ac:dyDescent="0.3">
      <c r="A61" s="90"/>
      <c r="B61" s="90"/>
      <c r="C61" s="90"/>
      <c r="D61" s="90"/>
      <c r="E61" s="90"/>
      <c r="F61" s="132"/>
      <c r="G61" s="90"/>
      <c r="H61" s="90"/>
      <c r="I61" s="90"/>
      <c r="J61" s="90"/>
      <c r="K61" s="90"/>
      <c r="L61" s="91"/>
      <c r="M61" s="92"/>
    </row>
    <row r="62" spans="1:20" x14ac:dyDescent="0.3">
      <c r="A62" s="90"/>
      <c r="B62" s="90"/>
      <c r="C62" s="90"/>
      <c r="D62" s="90"/>
      <c r="E62" s="90"/>
      <c r="F62" s="132"/>
      <c r="G62" s="90"/>
      <c r="H62" s="90"/>
      <c r="I62" s="90"/>
      <c r="J62" s="90"/>
      <c r="K62" s="90"/>
      <c r="L62" s="91"/>
      <c r="M62" s="92"/>
    </row>
    <row r="63" spans="1:20" x14ac:dyDescent="0.3">
      <c r="A63" s="90"/>
      <c r="B63" s="90"/>
      <c r="C63" s="90"/>
      <c r="D63" s="90"/>
      <c r="E63" s="90"/>
      <c r="F63" s="132"/>
      <c r="G63" s="90"/>
      <c r="H63" s="90"/>
      <c r="I63" s="90"/>
      <c r="J63" s="90"/>
      <c r="K63" s="90"/>
      <c r="L63" s="91"/>
      <c r="M63" s="92"/>
    </row>
  </sheetData>
  <mergeCells count="10">
    <mergeCell ref="I8:L8"/>
    <mergeCell ref="I7:L7"/>
    <mergeCell ref="A1:S2"/>
    <mergeCell ref="N4:O4"/>
    <mergeCell ref="N5:O5"/>
    <mergeCell ref="B9:C9"/>
    <mergeCell ref="B4:C4"/>
    <mergeCell ref="B5:C5"/>
    <mergeCell ref="B8:C8"/>
    <mergeCell ref="A7:C7"/>
  </mergeCells>
  <phoneticPr fontId="2" type="noConversion"/>
  <conditionalFormatting sqref="V1:V1048576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4921259845" footer="0.4921259845"/>
  <pageSetup paperSize="9" scale="55" orientation="landscape" horizontalDpi="4294967293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U104"/>
  <sheetViews>
    <sheetView topLeftCell="J13" workbookViewId="0">
      <selection activeCell="U41" sqref="U41:U51"/>
    </sheetView>
  </sheetViews>
  <sheetFormatPr defaultRowHeight="12.45" x14ac:dyDescent="0.3"/>
  <cols>
    <col min="1" max="19" width="11.07421875" customWidth="1"/>
    <col min="20" max="20" width="12.53515625" bestFit="1" customWidth="1"/>
    <col min="21" max="21" width="11.15234375" customWidth="1"/>
    <col min="22" max="256" width="11.07421875" customWidth="1"/>
  </cols>
  <sheetData>
    <row r="1" spans="2:20" x14ac:dyDescent="0.3">
      <c r="H1" t="s">
        <v>15</v>
      </c>
      <c r="I1" t="s">
        <v>16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69</v>
      </c>
    </row>
    <row r="2" spans="2:20" x14ac:dyDescent="0.3">
      <c r="C2" s="240" t="s">
        <v>15</v>
      </c>
      <c r="D2" s="240"/>
    </row>
    <row r="3" spans="2:20" x14ac:dyDescent="0.3">
      <c r="B3" s="2" t="s">
        <v>2</v>
      </c>
      <c r="C3" s="2" t="s">
        <v>11</v>
      </c>
      <c r="D3" s="2" t="s">
        <v>3</v>
      </c>
      <c r="E3" s="2" t="s">
        <v>4</v>
      </c>
      <c r="G3" t="s">
        <v>5</v>
      </c>
      <c r="H3" s="3">
        <f>'Données Générales'!F4</f>
        <v>0</v>
      </c>
      <c r="I3" s="3">
        <f>'Données Générales'!K4</f>
        <v>0</v>
      </c>
      <c r="J3" s="8">
        <f>'Données Générales'!C22</f>
        <v>0</v>
      </c>
      <c r="K3" s="8">
        <f>'Données Générales'!D22</f>
        <v>0</v>
      </c>
      <c r="L3" s="8">
        <f>'Données Générales'!E22</f>
        <v>0</v>
      </c>
      <c r="M3" s="8">
        <f>'Données Générales'!F22</f>
        <v>0</v>
      </c>
      <c r="N3" s="8">
        <f>'Données Générales'!G22</f>
        <v>0</v>
      </c>
      <c r="O3" s="8">
        <f>'Données Générales'!H22</f>
        <v>0</v>
      </c>
      <c r="P3" s="8">
        <f>'Données Générales'!I22</f>
        <v>0</v>
      </c>
      <c r="Q3" s="8">
        <f>'Données Générales'!J22</f>
        <v>0</v>
      </c>
      <c r="R3" s="8">
        <f>'Données Générales'!K22</f>
        <v>0</v>
      </c>
      <c r="S3" s="8">
        <f>'Données Générales'!L22</f>
        <v>0</v>
      </c>
      <c r="T3" s="8">
        <f>'Données Générales'!M22</f>
        <v>0</v>
      </c>
    </row>
    <row r="4" spans="2:20" x14ac:dyDescent="0.3">
      <c r="B4" s="4">
        <v>0</v>
      </c>
      <c r="C4" s="4">
        <f>1-$B4</f>
        <v>1</v>
      </c>
      <c r="D4" s="4">
        <f>C4^5*$H$3+5*C4^4*B4*$H$6+10*C4^3*B4^2*$H$9+10*C4^2*B4^3*$H$12+5*C4*B4^4*$H$15+B4^5*$H$18</f>
        <v>0</v>
      </c>
      <c r="E4" s="4">
        <f>C4^5*$H$4+5*C4^4*B4*$H$7+10*C4^3*B4^2*$H$10+10*C4^2*B4^3*$H$13+5*C4*B4^4*$H$16+B4^5*$H$19</f>
        <v>12</v>
      </c>
      <c r="H4" s="3">
        <f>'Données Générales'!G4</f>
        <v>12</v>
      </c>
      <c r="I4" s="3">
        <f>'Données Générales'!L4</f>
        <v>0.5</v>
      </c>
      <c r="J4" s="3">
        <f>'Données Générales'!C23</f>
        <v>0.5</v>
      </c>
      <c r="K4" s="3">
        <f>'Données Générales'!D23</f>
        <v>-1.2417417590049191</v>
      </c>
      <c r="L4" s="3">
        <f>'Données Générales'!E23</f>
        <v>-2.6350863130002997</v>
      </c>
      <c r="M4" s="3">
        <f>'Données Générales'!F23</f>
        <v>-3.6955143088737241</v>
      </c>
      <c r="N4" s="3">
        <f>'Données Générales'!G23</f>
        <v>-4.4167645045914155</v>
      </c>
      <c r="O4" s="3">
        <f>'Données Générales'!H23</f>
        <v>-4.7808712858580069</v>
      </c>
      <c r="P4" s="3">
        <f>'Données Générales'!I23</f>
        <v>-4.7707124581508547</v>
      </c>
      <c r="Q4" s="3">
        <f>'Données Générales'!J23</f>
        <v>-4.3677739133041573</v>
      </c>
      <c r="R4" s="3">
        <f>'Données Générales'!K23</f>
        <v>-3.5296605546195075</v>
      </c>
      <c r="S4" s="3">
        <f>'Données Générales'!L23</f>
        <v>-2.1541482133419123</v>
      </c>
      <c r="T4" s="3">
        <f>'Données Générales'!M23</f>
        <v>4.2818726342375157E-9</v>
      </c>
    </row>
    <row r="5" spans="2:20" x14ac:dyDescent="0.3">
      <c r="B5" s="4">
        <v>0.1</v>
      </c>
      <c r="C5" s="4">
        <f t="shared" ref="C5:C14" si="0">1-$B5</f>
        <v>0.9</v>
      </c>
      <c r="D5" s="4">
        <f>C5^5*$H$3+5*C5^4*B5*$H$6+10*C5^3*B5^2*$H$9+10*C5^2*B5^3*$H$12+5*C5*B5^4*$H$15+B5^5*$H$18</f>
        <v>12.425950014054779</v>
      </c>
      <c r="E5" s="4">
        <f>C5^5*$H$4+5*C5^4*B5*$H$7+10*C5^3*B5^2*$H$10+10*C5^2*B5^3*$H$13+5*C5*B5^4*$H$16+B5^5*$H$19</f>
        <v>12.699432015718822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2:20" x14ac:dyDescent="0.3">
      <c r="B6" s="4">
        <v>0.2</v>
      </c>
      <c r="C6" s="4">
        <f t="shared" si="0"/>
        <v>0.8</v>
      </c>
      <c r="D6" s="4">
        <f>C6^5*$H$3+5*C6^4*B6*$H$6+10*C6^3*B6^2*$H$9+10*C6^2*B6^3*$H$12+5*C6*B6^4*$H$15+B6^5*$H$18</f>
        <v>24.454400093078629</v>
      </c>
      <c r="E6" s="4">
        <f>C6^5*$H$4+5*C6^4*B6*$H$7+10*C6^3*B6^2*$H$10+10*C6^2*B6^3*$H$13+5*C6*B6^4*$H$16+B6^5*$H$19</f>
        <v>12.841984039840703</v>
      </c>
      <c r="G6" t="s">
        <v>6</v>
      </c>
      <c r="H6" s="3">
        <f>'Données Générales'!F7</f>
        <v>25</v>
      </c>
      <c r="I6" s="3">
        <f>'Données Générales'!K7</f>
        <v>24.750000005587935</v>
      </c>
      <c r="J6" s="3">
        <f>'Données Générales'!C25</f>
        <v>4.8000000715255737</v>
      </c>
      <c r="K6" s="3">
        <f>'Données Générales'!D25</f>
        <v>4.6756083520188607</v>
      </c>
      <c r="L6" s="3">
        <f>'Données Générales'!E25</f>
        <v>4.6233895677128967</v>
      </c>
      <c r="M6" s="3">
        <f>'Données Générales'!F25</f>
        <v>4.4720833230309376</v>
      </c>
      <c r="N6" s="3">
        <f>'Données Générales'!G25</f>
        <v>4.2083478640209151</v>
      </c>
      <c r="O6" s="3">
        <f>'Données Générales'!H25</f>
        <v>3.8195814370752741</v>
      </c>
      <c r="P6" s="3">
        <f>'Données Générales'!I25</f>
        <v>3.292971509785255</v>
      </c>
      <c r="Q6" s="3">
        <f>'Données Générales'!J25</f>
        <v>2.6210831979510711</v>
      </c>
      <c r="R6" s="3">
        <f>'Données Générales'!K25</f>
        <v>1.8203468278847874</v>
      </c>
      <c r="S6" s="3">
        <f>'Données Générales'!L25</f>
        <v>0.94795259832366574</v>
      </c>
      <c r="T6" s="3">
        <f>'Données Générales'!M25</f>
        <v>8.4365636103703526E-2</v>
      </c>
    </row>
    <row r="7" spans="2:20" x14ac:dyDescent="0.3">
      <c r="B7" s="4">
        <v>0.3</v>
      </c>
      <c r="C7" s="4">
        <f t="shared" si="0"/>
        <v>0.7</v>
      </c>
      <c r="D7" s="4">
        <f t="shared" ref="D7:D14" si="1">C7^5*$H$3+5*C7^4*B7*$H$6+10*C7^3*B7^2*$H$9+10*C7^2*B7^3*$H$12+5*C7*B7^4*$H$15+B7^5*$H$18</f>
        <v>35.813850254595273</v>
      </c>
      <c r="E7" s="4">
        <f t="shared" ref="E7:E14" si="2">C7^5*$H$4+5*C7^4*B7*$H$7+10*C7^3*B7^2*$H$10+10*C7^2*B7^3*$H$13+5*C7*B7^4*$H$16+B7^5*$H$19</f>
        <v>12.49029605241358</v>
      </c>
      <c r="H7" s="3">
        <f>'Données Générales'!G7</f>
        <v>14</v>
      </c>
      <c r="I7" s="3">
        <f>'Données Générales'!L7</f>
        <v>-4.3200001406669628</v>
      </c>
      <c r="J7" s="3">
        <f>'Données Générales'!C27</f>
        <v>0.5</v>
      </c>
      <c r="K7" s="3">
        <f>'Données Générales'!D27</f>
        <v>-1.2417417590049191</v>
      </c>
      <c r="L7" s="3">
        <f>'Données Générales'!E27</f>
        <v>-2.6350863130002997</v>
      </c>
      <c r="M7" s="3">
        <f>'Données Générales'!F27</f>
        <v>-3.6955143088737241</v>
      </c>
      <c r="N7" s="3">
        <f>'Données Générales'!G27</f>
        <v>-4.4167645045914155</v>
      </c>
      <c r="O7" s="3">
        <f>'Données Générales'!H27</f>
        <v>-4.7808712858580069</v>
      </c>
      <c r="P7" s="3">
        <f>'Données Générales'!I27</f>
        <v>-4.7707124581508547</v>
      </c>
      <c r="Q7" s="3">
        <f>'Données Générales'!J27</f>
        <v>-4.3677739133041573</v>
      </c>
      <c r="R7" s="3">
        <f>'Données Générales'!K27</f>
        <v>-3.5296605546195075</v>
      </c>
      <c r="S7" s="3">
        <f>'Données Générales'!L27</f>
        <v>-2.1541482133419123</v>
      </c>
      <c r="T7" s="3">
        <f>'Données Générales'!M27</f>
        <v>4.2818726342375157E-9</v>
      </c>
    </row>
    <row r="8" spans="2:20" x14ac:dyDescent="0.3">
      <c r="B8" s="4">
        <v>0.4</v>
      </c>
      <c r="C8" s="4">
        <f t="shared" si="0"/>
        <v>0.6</v>
      </c>
      <c r="D8" s="4">
        <f t="shared" si="1"/>
        <v>46.364800476074237</v>
      </c>
      <c r="E8" s="4">
        <f t="shared" si="2"/>
        <v>11.701248048706056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2:20" x14ac:dyDescent="0.3">
      <c r="B9" s="4">
        <v>0.5</v>
      </c>
      <c r="C9" s="4">
        <f t="shared" si="0"/>
        <v>0.5</v>
      </c>
      <c r="D9" s="4">
        <f t="shared" si="1"/>
        <v>56.093750707805157</v>
      </c>
      <c r="E9" s="4">
        <f t="shared" si="2"/>
        <v>10.525000033900142</v>
      </c>
      <c r="G9" t="s">
        <v>7</v>
      </c>
      <c r="H9" s="3">
        <f>'Données Générales'!F10</f>
        <v>50</v>
      </c>
      <c r="I9" s="3">
        <f>'Données Générales'!K10</f>
        <v>44.54999882988632</v>
      </c>
      <c r="J9" s="3">
        <f>'Données Générales'!C29</f>
        <v>8.3999998569488525</v>
      </c>
      <c r="K9" s="3">
        <f>'Données Générales'!D29</f>
        <v>9.0853977489292745</v>
      </c>
      <c r="L9" s="3">
        <f>'Données Générales'!E29</f>
        <v>9.400381388569631</v>
      </c>
      <c r="M9" s="3">
        <f>'Données Générales'!F29</f>
        <v>9.4225661611024467</v>
      </c>
      <c r="N9" s="3">
        <f>'Données Générales'!G29</f>
        <v>9.142932101023959</v>
      </c>
      <c r="O9" s="3">
        <f>'Données Générales'!H29</f>
        <v>8.5297315034397254</v>
      </c>
      <c r="P9" s="3">
        <f>'Données Générales'!I29</f>
        <v>7.5420527510375139</v>
      </c>
      <c r="Q9" s="3">
        <f>'Données Générales'!J29</f>
        <v>6.1466866014374455</v>
      </c>
      <c r="R9" s="3">
        <f>'Données Générales'!K29</f>
        <v>4.3652208346382233</v>
      </c>
      <c r="S9" s="3">
        <f>'Données Générales'!L29</f>
        <v>2.3220537241901389</v>
      </c>
      <c r="T9" s="3">
        <f>'Données Générales'!M29</f>
        <v>0.2109140818782862</v>
      </c>
    </row>
    <row r="10" spans="2:20" x14ac:dyDescent="0.3">
      <c r="B10" s="4">
        <v>0.6</v>
      </c>
      <c r="C10" s="4">
        <f t="shared" si="0"/>
        <v>0.4</v>
      </c>
      <c r="D10" s="4">
        <f t="shared" si="1"/>
        <v>65.107200885772713</v>
      </c>
      <c r="E10" s="4">
        <f t="shared" si="2"/>
        <v>9.0040320177841195</v>
      </c>
      <c r="H10" s="3">
        <f>'Données Générales'!G10</f>
        <v>12.880000233650208</v>
      </c>
      <c r="I10" s="3">
        <f>'Données Générales'!L10</f>
        <v>-5.1300000262260426</v>
      </c>
      <c r="J10" s="3">
        <f>'Données Générales'!C31</f>
        <v>1.2500000111758709</v>
      </c>
      <c r="K10" s="3">
        <f>'Données Générales'!D31</f>
        <v>-0.17144278874085428</v>
      </c>
      <c r="L10" s="3">
        <f>'Données Générales'!E31</f>
        <v>-1.3337698851666229</v>
      </c>
      <c r="M10" s="3">
        <f>'Données Générales'!F31</f>
        <v>-2.2056679814923572</v>
      </c>
      <c r="N10" s="3">
        <f>'Données Générales'!G31</f>
        <v>-2.7824354304795662</v>
      </c>
      <c r="O10" s="3">
        <f>'Données Générales'!H31</f>
        <v>-3.0509120600415844</v>
      </c>
      <c r="P10" s="3">
        <f>'Données Générales'!I31</f>
        <v>-2.9990335823883436</v>
      </c>
      <c r="Q10" s="3">
        <f>'Données Générales'!J31</f>
        <v>-2.6136153547632217</v>
      </c>
      <c r="R10" s="3">
        <f>'Données Générales'!K31</f>
        <v>-1.8610723407242729</v>
      </c>
      <c r="S10" s="3">
        <f>'Données Générales'!L31</f>
        <v>-0.65707979301733199</v>
      </c>
      <c r="T10" s="3">
        <f>'Données Générales'!M31</f>
        <v>1.2000000513233076</v>
      </c>
    </row>
    <row r="11" spans="2:20" x14ac:dyDescent="0.3">
      <c r="B11" s="4">
        <v>0.7</v>
      </c>
      <c r="C11" s="4">
        <f t="shared" si="0"/>
        <v>0.30000000000000004</v>
      </c>
      <c r="D11" s="4">
        <f t="shared" si="1"/>
        <v>73.62565094453096</v>
      </c>
      <c r="E11" s="4">
        <f t="shared" si="2"/>
        <v>7.17218400944531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2:20" x14ac:dyDescent="0.3">
      <c r="B12" s="4">
        <v>0.8</v>
      </c>
      <c r="C12" s="4">
        <f t="shared" si="0"/>
        <v>0.19999999999999996</v>
      </c>
      <c r="D12" s="4">
        <f t="shared" si="1"/>
        <v>81.977600830078146</v>
      </c>
      <c r="E12" s="4">
        <f t="shared" si="2"/>
        <v>5.0536960119628898</v>
      </c>
      <c r="G12" t="s">
        <v>8</v>
      </c>
      <c r="H12" s="3">
        <f>'Données Générales'!F13</f>
        <v>67.000001668930054</v>
      </c>
      <c r="I12" s="3">
        <f>'Données Générales'!K13</f>
        <v>54.450001192465422</v>
      </c>
      <c r="J12" s="3">
        <f>'Données Générales'!C33</f>
        <v>8.3999998569488525</v>
      </c>
      <c r="K12" s="3">
        <f>'Données Générales'!D33</f>
        <v>9.687453260310896</v>
      </c>
      <c r="L12" s="3">
        <f>'Données Générales'!E33</f>
        <v>10.273347867996975</v>
      </c>
      <c r="M12" s="3">
        <f>'Données Générales'!F33</f>
        <v>10.486846408453154</v>
      </c>
      <c r="N12" s="3">
        <f>'Données Générales'!G33</f>
        <v>10.328480983609266</v>
      </c>
      <c r="O12" s="3">
        <f>'Données Générales'!H33</f>
        <v>9.7600407982901682</v>
      </c>
      <c r="P12" s="3">
        <f>'Données Générales'!I33</f>
        <v>8.7282877793764726</v>
      </c>
      <c r="Q12" s="3">
        <f>'Données Générales'!J33</f>
        <v>7.1865472227528562</v>
      </c>
      <c r="R12" s="3">
        <f>'Données Générales'!K33</f>
        <v>5.151630049004094</v>
      </c>
      <c r="S12" s="3">
        <f>'Données Générales'!L33</f>
        <v>2.7641448153697072</v>
      </c>
      <c r="T12" s="3">
        <f>'Données Générales'!M33</f>
        <v>0.25309689154916531</v>
      </c>
    </row>
    <row r="13" spans="2:20" x14ac:dyDescent="0.3">
      <c r="B13" s="4">
        <v>0.9</v>
      </c>
      <c r="C13" s="4">
        <f t="shared" si="0"/>
        <v>9.9999999999999978E-2</v>
      </c>
      <c r="D13" s="4">
        <f t="shared" si="1"/>
        <v>90.593550512731099</v>
      </c>
      <c r="E13" s="4">
        <f t="shared" si="2"/>
        <v>2.6622480171006915</v>
      </c>
      <c r="H13" s="3">
        <f>'Données Générales'!G13</f>
        <v>9.7999998331069946</v>
      </c>
      <c r="I13" s="3">
        <f>'Données Générales'!L13</f>
        <v>-5.4000000953674316</v>
      </c>
      <c r="J13" s="3">
        <f>'Données Générales'!C35</f>
        <v>1.2500000111758709</v>
      </c>
      <c r="K13" s="3">
        <f>'Données Générales'!D35</f>
        <v>0.55918104889780751</v>
      </c>
      <c r="L13" s="3">
        <f>'Données Générales'!E35</f>
        <v>-0.1447310880443089</v>
      </c>
      <c r="M13" s="3">
        <f>'Données Générales'!F35</f>
        <v>-0.60419372934371163</v>
      </c>
      <c r="N13" s="3">
        <f>'Données Générales'!G35</f>
        <v>-0.81917258025751005</v>
      </c>
      <c r="O13" s="3">
        <f>'Données Générales'!H35</f>
        <v>-0.79155187111592751</v>
      </c>
      <c r="P13" s="3">
        <f>'Données Générales'!I35</f>
        <v>-0.52599574890725176</v>
      </c>
      <c r="Q13" s="3">
        <f>'Données Générales'!J35</f>
        <v>-2.6709842145096196E-2</v>
      </c>
      <c r="R13" s="3">
        <f>'Données Générales'!K35</f>
        <v>0.71703813503844138</v>
      </c>
      <c r="S13" s="3">
        <f>'Données Générales'!L35</f>
        <v>1.7511879109644024</v>
      </c>
      <c r="T13" s="3">
        <f>'Données Générales'!M35</f>
        <v>3.2000000502528394</v>
      </c>
    </row>
    <row r="14" spans="2:20" x14ac:dyDescent="0.3">
      <c r="B14" s="4">
        <v>1</v>
      </c>
      <c r="C14" s="4">
        <f t="shared" si="0"/>
        <v>0</v>
      </c>
      <c r="D14" s="4">
        <f t="shared" si="1"/>
        <v>100</v>
      </c>
      <c r="E14" s="4">
        <f t="shared" si="2"/>
        <v>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2:20" x14ac:dyDescent="0.3">
      <c r="B15" s="4"/>
      <c r="C15" s="4"/>
      <c r="D15" s="4"/>
      <c r="E15" s="4"/>
      <c r="G15" t="s">
        <v>9</v>
      </c>
      <c r="H15" s="3">
        <f>'Données Générales'!F16</f>
        <v>80.000001192092896</v>
      </c>
      <c r="I15" s="3">
        <f>'Données Générales'!K16</f>
        <v>79.200001198053357</v>
      </c>
      <c r="J15" s="3">
        <f>'Données Générales'!C37</f>
        <v>8.3999998569488525</v>
      </c>
      <c r="K15" s="3">
        <f>'Données Générales'!D37</f>
        <v>10.088823760722248</v>
      </c>
      <c r="L15" s="3">
        <f>'Données Générales'!E37</f>
        <v>10.855325752205717</v>
      </c>
      <c r="M15" s="3">
        <f>'Données Générales'!F37</f>
        <v>11.196366855291652</v>
      </c>
      <c r="N15" s="3">
        <f>'Données Générales'!G37</f>
        <v>11.118847219396052</v>
      </c>
      <c r="O15" s="3">
        <f>'Données Générales'!H37</f>
        <v>10.580247320777842</v>
      </c>
      <c r="P15" s="3">
        <f>'Données Générales'!I37</f>
        <v>9.5191114458474591</v>
      </c>
      <c r="Q15" s="3">
        <f>'Données Générales'!J37</f>
        <v>7.8797879124321657</v>
      </c>
      <c r="R15" s="3">
        <f>'Données Générales'!K37</f>
        <v>5.6759030669086705</v>
      </c>
      <c r="S15" s="3">
        <f>'Données Générales'!L37</f>
        <v>3.0588723266035824</v>
      </c>
      <c r="T15" s="3">
        <f>'Données Générales'!M37</f>
        <v>0.28121877583771493</v>
      </c>
    </row>
    <row r="16" spans="2:20" x14ac:dyDescent="0.3">
      <c r="B16" s="4"/>
      <c r="C16" s="4"/>
      <c r="D16" s="4"/>
      <c r="E16" s="4"/>
      <c r="H16" s="3">
        <f>'Données Générales'!G16</f>
        <v>5.6000000834465027</v>
      </c>
      <c r="I16">
        <f>'Données Générales'!L16</f>
        <v>-5.4000000953674316</v>
      </c>
      <c r="J16" s="3">
        <f>'Données Générales'!C39</f>
        <v>1.2500000111758709</v>
      </c>
      <c r="K16" s="3">
        <f>'Données Générales'!D39</f>
        <v>1.4359296018059129</v>
      </c>
      <c r="L16" s="3">
        <f>'Données Générales'!E39</f>
        <v>1.2821153834557855</v>
      </c>
      <c r="M16" s="3">
        <f>'Données Générales'!F39</f>
        <v>1.3175752586882972</v>
      </c>
      <c r="N16" s="3">
        <f>'Données Générales'!G39</f>
        <v>1.5367426995854565</v>
      </c>
      <c r="O16" s="3">
        <f>'Données Générales'!H39</f>
        <v>1.9196801939928259</v>
      </c>
      <c r="P16" s="3">
        <f>'Données Générales'!I39</f>
        <v>2.4416494743846089</v>
      </c>
      <c r="Q16" s="3">
        <f>'Données Générales'!J39</f>
        <v>3.077576587966754</v>
      </c>
      <c r="R16" s="3">
        <f>'Données Générales'!K39</f>
        <v>3.8107705215528682</v>
      </c>
      <c r="S16" s="3">
        <f>'Données Générales'!L39</f>
        <v>4.6411089834897536</v>
      </c>
      <c r="T16" s="3">
        <f>'Données Générales'!M39</f>
        <v>5.5999999059171301</v>
      </c>
    </row>
    <row r="17" spans="2:21" x14ac:dyDescent="0.3">
      <c r="B17" s="4"/>
      <c r="C17" s="4"/>
      <c r="D17" s="4"/>
      <c r="E17" s="4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2:21" x14ac:dyDescent="0.3">
      <c r="B18" s="4"/>
      <c r="C18" s="4"/>
      <c r="D18" s="4"/>
      <c r="E18" s="4"/>
      <c r="G18" t="s">
        <v>10</v>
      </c>
      <c r="H18" s="3">
        <f>'Données Générales'!F18</f>
        <v>100</v>
      </c>
      <c r="I18" s="3">
        <f>'Données Générales'!K18</f>
        <v>99.000000022351742</v>
      </c>
      <c r="J18" s="3">
        <f>'Données Générales'!C40</f>
        <v>12</v>
      </c>
      <c r="K18" s="3">
        <f>'Données Générales'!D40</f>
        <v>12.601714301953042</v>
      </c>
      <c r="L18" s="3">
        <f>'Données Générales'!E40</f>
        <v>12.848951427683611</v>
      </c>
      <c r="M18" s="3">
        <f>'Données Générales'!F40</f>
        <v>12.739977092637686</v>
      </c>
      <c r="N18" s="3">
        <f>'Données Générales'!G40</f>
        <v>12.261366247739474</v>
      </c>
      <c r="O18" s="3">
        <f>'Données Générales'!H40</f>
        <v>11.372028549062913</v>
      </c>
      <c r="P18" s="3">
        <f>'Données Générales'!I40</f>
        <v>10.017157774329755</v>
      </c>
      <c r="Q18" s="3">
        <f>'Données Générales'!J40</f>
        <v>8.1489074372180585</v>
      </c>
      <c r="R18" s="3">
        <f>'Données Générales'!K40</f>
        <v>5.7874695282104938</v>
      </c>
      <c r="S18" s="3">
        <f>'Données Générales'!L40</f>
        <v>3.0844916684945929</v>
      </c>
      <c r="T18" s="3">
        <f>'Données Générales'!M40</f>
        <v>0.28121877583771493</v>
      </c>
    </row>
    <row r="19" spans="2:21" x14ac:dyDescent="0.3">
      <c r="B19" s="4"/>
      <c r="C19" s="4"/>
      <c r="D19" s="4"/>
      <c r="E19" s="4"/>
      <c r="H19" s="3">
        <f>'Données Générales'!G18</f>
        <v>0</v>
      </c>
      <c r="I19" s="3">
        <f>'Données Générales'!L18</f>
        <v>0</v>
      </c>
      <c r="J19" s="3">
        <f>'Données Générales'!C41</f>
        <v>8</v>
      </c>
      <c r="K19" s="3">
        <f>'Données Générales'!D41</f>
        <v>8</v>
      </c>
      <c r="L19" s="3">
        <f>'Données Générales'!E41</f>
        <v>8</v>
      </c>
      <c r="M19" s="3">
        <f>'Données Générales'!F41</f>
        <v>8</v>
      </c>
      <c r="N19" s="3">
        <f>'Données Générales'!G41</f>
        <v>8</v>
      </c>
      <c r="O19" s="3">
        <f>'Données Générales'!H41</f>
        <v>8</v>
      </c>
      <c r="P19" s="3">
        <f>'Données Générales'!I41</f>
        <v>8</v>
      </c>
      <c r="Q19" s="3">
        <f>'Données Générales'!J41</f>
        <v>8</v>
      </c>
      <c r="R19" s="3">
        <f>'Données Générales'!K41</f>
        <v>8</v>
      </c>
      <c r="S19" s="3">
        <f>'Données Générales'!L41</f>
        <v>8</v>
      </c>
      <c r="T19" s="3">
        <f>'Données Générales'!M41</f>
        <v>8</v>
      </c>
    </row>
    <row r="20" spans="2:21" x14ac:dyDescent="0.3">
      <c r="B20" s="4"/>
      <c r="C20" s="4"/>
      <c r="D20" s="4"/>
      <c r="E20" s="4"/>
    </row>
    <row r="21" spans="2:21" x14ac:dyDescent="0.3">
      <c r="B21" s="4"/>
      <c r="C21" s="4"/>
      <c r="D21" s="4"/>
      <c r="E21" s="4"/>
    </row>
    <row r="22" spans="2:21" x14ac:dyDescent="0.3">
      <c r="B22" s="4"/>
      <c r="C22" s="4"/>
      <c r="D22" s="4"/>
      <c r="E22" s="4"/>
    </row>
    <row r="23" spans="2:21" x14ac:dyDescent="0.3">
      <c r="B23" s="4"/>
      <c r="C23" s="4"/>
      <c r="D23" s="4"/>
      <c r="E23" s="4"/>
    </row>
    <row r="24" spans="2:21" x14ac:dyDescent="0.3">
      <c r="B24" s="4"/>
      <c r="C24" s="4"/>
      <c r="D24" s="4"/>
      <c r="E24" s="4"/>
    </row>
    <row r="26" spans="2:21" x14ac:dyDescent="0.3">
      <c r="B26" s="1"/>
      <c r="C26" s="241" t="s">
        <v>16</v>
      </c>
      <c r="D26" s="241"/>
      <c r="E26" s="1"/>
      <c r="H26" s="2"/>
      <c r="I26" s="2"/>
      <c r="J26" s="2"/>
      <c r="K26" s="2"/>
      <c r="L26" s="2"/>
    </row>
    <row r="27" spans="2:21" x14ac:dyDescent="0.3">
      <c r="B27" s="2" t="s">
        <v>2</v>
      </c>
      <c r="C27" s="2" t="s">
        <v>11</v>
      </c>
      <c r="D27" s="2" t="s">
        <v>3</v>
      </c>
      <c r="E27" s="2" t="s">
        <v>58</v>
      </c>
      <c r="H27" s="2" t="s">
        <v>2</v>
      </c>
      <c r="I27" s="2" t="s">
        <v>11</v>
      </c>
      <c r="J27" s="2"/>
      <c r="K27" s="2" t="s">
        <v>59</v>
      </c>
      <c r="L27" s="7" t="s">
        <v>61</v>
      </c>
      <c r="M27" s="7" t="s">
        <v>62</v>
      </c>
      <c r="N27" s="7" t="s">
        <v>63</v>
      </c>
      <c r="T27" t="s">
        <v>64</v>
      </c>
      <c r="U27" t="s">
        <v>70</v>
      </c>
    </row>
    <row r="28" spans="2:21" x14ac:dyDescent="0.3">
      <c r="B28" s="4">
        <v>0</v>
      </c>
      <c r="C28" s="4">
        <f t="shared" ref="C28:C38" si="3">1-$B28</f>
        <v>1</v>
      </c>
      <c r="D28" s="4">
        <f>C28^5*$I$3+5*C28^4*B28*$I$6+10*C28^3*B28^2*$I$9+10*C28^2*B28^3*$I$12+5*C28*B28^4*$I$15+B28^5*$I$18</f>
        <v>0</v>
      </c>
      <c r="E28" s="4">
        <f>C28^5*$I$4+5*C28^4*B28*$I$7+10*C28^3*B28^2*$I$10+10*C28^2*B28^3*$I$13+5*C28*B28^4*$I$16+B28^5*$I$19</f>
        <v>0.5</v>
      </c>
      <c r="H28" s="4">
        <v>0</v>
      </c>
      <c r="I28" s="4">
        <f t="shared" ref="I28:I38" si="4">1-$B28</f>
        <v>1</v>
      </c>
      <c r="J28" s="2"/>
      <c r="K28" s="4">
        <f>$I28^5*J$3+5*$I28^4*$H28*J$6+10*$I28^3*$H28^2*J$9+10*$I28^2*$H28^3*J$12+5*$I28*$H28^4*J$15+$H28^5*J$18</f>
        <v>0</v>
      </c>
      <c r="L28" s="4">
        <f t="shared" ref="L28:T28" si="5">$I28^5*K$3+5*$I28^4*$H28*K$6+10*$I28^3*$H28^2*K$9+10*$I28^2*$H28^3*K$12+5*$I28*$H28^4*K$15+$H28^5*K$18</f>
        <v>0</v>
      </c>
      <c r="M28" s="4">
        <f t="shared" si="5"/>
        <v>0</v>
      </c>
      <c r="N28" s="4">
        <f t="shared" si="5"/>
        <v>0</v>
      </c>
      <c r="O28" s="4">
        <f t="shared" si="5"/>
        <v>0</v>
      </c>
      <c r="P28" s="4">
        <f t="shared" si="5"/>
        <v>0</v>
      </c>
      <c r="Q28" s="4">
        <f t="shared" si="5"/>
        <v>0</v>
      </c>
      <c r="R28" s="4">
        <f t="shared" si="5"/>
        <v>0</v>
      </c>
      <c r="S28" s="4">
        <f t="shared" si="5"/>
        <v>0</v>
      </c>
      <c r="T28" s="4">
        <f t="shared" si="5"/>
        <v>0</v>
      </c>
      <c r="U28" s="4">
        <f t="shared" ref="U28:U38" si="6">$I28^5*T$3+5*$I28^4*$H28*T$6+10*$I28^3*$H28^2*T$9+10*$I28^2*$H28^3*T$12+5*$I28*$H28^4*T$15+$H28^5*T$18</f>
        <v>0</v>
      </c>
    </row>
    <row r="29" spans="2:21" x14ac:dyDescent="0.3">
      <c r="B29" s="4">
        <v>0.1</v>
      </c>
      <c r="C29" s="4">
        <f t="shared" si="3"/>
        <v>0.9</v>
      </c>
      <c r="D29" s="4">
        <f t="shared" ref="D29:D38" si="7">C29^5*$I$3+5*C29^4*B29*$I$6+10*C29^3*B29^2*$I$9+10*C29^2*B29^3*$I$12+5*C29*B29^4*$I$15+B29^5*$I$18</f>
        <v>11.844607426730155</v>
      </c>
      <c r="E29" s="4">
        <f t="shared" ref="E29:E38" si="8">C29^5*$I$4+5*C29^4*B29*$I$7+10*C29^3*B29^2*$I$10+10*C29^2*B29^3*$I$13+5*C29*B29^4*$I$16+B29^5*$I$19</f>
        <v>-1.5420780488730677</v>
      </c>
      <c r="H29" s="4">
        <v>0.1</v>
      </c>
      <c r="I29" s="4">
        <f t="shared" si="4"/>
        <v>0.9</v>
      </c>
      <c r="J29" s="2"/>
      <c r="K29" s="4">
        <f t="shared" ref="K29:T38" si="9">$I29^5*J$3+5*$I29^4*$H29*J$6+10*$I29^3*$H29^2*J$9+10*$I29^2*$H29^3*J$12+5*$I29*$H29^4*J$15+$H29^5*J$18</f>
        <v>2.2589400118124492</v>
      </c>
      <c r="L29" s="4">
        <f t="shared" si="9"/>
        <v>2.2792931750205949</v>
      </c>
      <c r="M29" s="4">
        <f t="shared" si="9"/>
        <v>2.2902182547484875</v>
      </c>
      <c r="N29" s="4">
        <f t="shared" si="9"/>
        <v>2.2440812280289464</v>
      </c>
      <c r="O29" s="4">
        <f t="shared" si="9"/>
        <v>2.1358550578351494</v>
      </c>
      <c r="P29" s="4">
        <f t="shared" si="9"/>
        <v>1.9587622790792913</v>
      </c>
      <c r="Q29" s="4">
        <f t="shared" si="9"/>
        <v>1.7051578520770123</v>
      </c>
      <c r="R29" s="4">
        <f t="shared" si="9"/>
        <v>1.369778222471904</v>
      </c>
      <c r="S29" s="4">
        <f t="shared" si="9"/>
        <v>0.95972961020505543</v>
      </c>
      <c r="T29" s="4">
        <f t="shared" si="9"/>
        <v>0.50405047684169102</v>
      </c>
      <c r="U29" s="4">
        <f t="shared" si="6"/>
        <v>4.5231228951180605E-2</v>
      </c>
    </row>
    <row r="30" spans="2:21" x14ac:dyDescent="0.3">
      <c r="B30" s="4">
        <v>0.2</v>
      </c>
      <c r="C30" s="4">
        <f t="shared" si="3"/>
        <v>0.8</v>
      </c>
      <c r="D30" s="4">
        <f t="shared" si="7"/>
        <v>22.587839831378467</v>
      </c>
      <c r="E30" s="4">
        <f t="shared" si="8"/>
        <v>-2.9672960684814473</v>
      </c>
      <c r="H30" s="4">
        <v>0.2</v>
      </c>
      <c r="I30" s="4">
        <f t="shared" si="4"/>
        <v>0.8</v>
      </c>
      <c r="J30" s="2"/>
      <c r="K30" s="4">
        <f t="shared" si="9"/>
        <v>4.174079991760256</v>
      </c>
      <c r="L30" s="4">
        <f t="shared" si="9"/>
        <v>4.3404172675408077</v>
      </c>
      <c r="M30" s="4">
        <f t="shared" si="9"/>
        <v>4.4185196354266845</v>
      </c>
      <c r="N30" s="4">
        <f t="shared" si="9"/>
        <v>4.3741669555635676</v>
      </c>
      <c r="O30" s="4">
        <f t="shared" si="9"/>
        <v>4.2001142651568806</v>
      </c>
      <c r="P30" s="4">
        <f t="shared" si="9"/>
        <v>3.8824562893916248</v>
      </c>
      <c r="Q30" s="4">
        <f t="shared" si="9"/>
        <v>3.4044296718658091</v>
      </c>
      <c r="R30" s="4">
        <f t="shared" si="9"/>
        <v>2.7534266046795706</v>
      </c>
      <c r="S30" s="4">
        <f t="shared" si="9"/>
        <v>1.9415525160217701</v>
      </c>
      <c r="T30" s="4">
        <f t="shared" si="9"/>
        <v>1.0259260217586246</v>
      </c>
      <c r="U30" s="4">
        <f t="shared" si="6"/>
        <v>9.2599719537696731E-2</v>
      </c>
    </row>
    <row r="31" spans="2:21" x14ac:dyDescent="0.3">
      <c r="B31" s="4">
        <v>0.3</v>
      </c>
      <c r="C31" s="4">
        <f t="shared" si="3"/>
        <v>0.7</v>
      </c>
      <c r="D31" s="4">
        <f t="shared" si="7"/>
        <v>32.355922332580697</v>
      </c>
      <c r="E31" s="4">
        <f t="shared" si="8"/>
        <v>-3.9229540740779631</v>
      </c>
      <c r="H31" s="4">
        <v>0.3</v>
      </c>
      <c r="I31" s="4">
        <f t="shared" si="4"/>
        <v>0.7</v>
      </c>
      <c r="J31" s="2"/>
      <c r="K31" s="4">
        <f t="shared" si="9"/>
        <v>5.7004199586188777</v>
      </c>
      <c r="L31" s="4">
        <f t="shared" si="9"/>
        <v>6.086873018783411</v>
      </c>
      <c r="M31" s="4">
        <f t="shared" si="9"/>
        <v>6.2651468474435461</v>
      </c>
      <c r="N31" s="4">
        <f t="shared" si="9"/>
        <v>6.2551519072428956</v>
      </c>
      <c r="O31" s="4">
        <f t="shared" si="9"/>
        <v>6.0495320955966179</v>
      </c>
      <c r="P31" s="4">
        <f t="shared" si="9"/>
        <v>5.6275878082065658</v>
      </c>
      <c r="Q31" s="4">
        <f t="shared" si="9"/>
        <v>4.9631563495873436</v>
      </c>
      <c r="R31" s="4">
        <f t="shared" si="9"/>
        <v>4.0354392975659117</v>
      </c>
      <c r="S31" s="4">
        <f t="shared" si="9"/>
        <v>2.8596776400991786</v>
      </c>
      <c r="T31" s="4">
        <f t="shared" si="9"/>
        <v>1.5181338172308294</v>
      </c>
      <c r="U31" s="4">
        <f t="shared" si="6"/>
        <v>0.13763409359081519</v>
      </c>
    </row>
    <row r="32" spans="2:21" x14ac:dyDescent="0.3">
      <c r="B32" s="4">
        <v>0.4</v>
      </c>
      <c r="C32" s="4">
        <f t="shared" si="3"/>
        <v>0.6</v>
      </c>
      <c r="D32" s="4">
        <f t="shared" si="7"/>
        <v>41.453279964040526</v>
      </c>
      <c r="E32" s="4">
        <f t="shared" si="8"/>
        <v>-4.5126720748214719</v>
      </c>
      <c r="H32" s="4">
        <v>0.4</v>
      </c>
      <c r="I32" s="4">
        <f t="shared" si="4"/>
        <v>0.6</v>
      </c>
      <c r="J32" s="2"/>
      <c r="K32" s="4">
        <f t="shared" si="9"/>
        <v>6.8505599251556415</v>
      </c>
      <c r="L32" s="4">
        <f t="shared" si="9"/>
        <v>7.4876835973243443</v>
      </c>
      <c r="M32" s="4">
        <f t="shared" si="9"/>
        <v>7.779396013016231</v>
      </c>
      <c r="N32" s="4">
        <f t="shared" si="9"/>
        <v>7.8221106150292412</v>
      </c>
      <c r="O32" s="4">
        <f t="shared" si="9"/>
        <v>7.6097669759181468</v>
      </c>
      <c r="P32" s="4">
        <f t="shared" si="9"/>
        <v>7.1156366825828776</v>
      </c>
      <c r="Q32" s="4">
        <f t="shared" si="9"/>
        <v>6.3047126051134654</v>
      </c>
      <c r="R32" s="4">
        <f t="shared" si="9"/>
        <v>5.1480726583198617</v>
      </c>
      <c r="S32" s="4">
        <f t="shared" si="9"/>
        <v>3.6625628250367122</v>
      </c>
      <c r="T32" s="4">
        <f t="shared" si="9"/>
        <v>1.9515766353953268</v>
      </c>
      <c r="U32" s="4">
        <f t="shared" si="6"/>
        <v>0.17755028563705813</v>
      </c>
    </row>
    <row r="33" spans="2:21" x14ac:dyDescent="0.3">
      <c r="B33" s="4">
        <v>0.5</v>
      </c>
      <c r="C33" s="4">
        <f t="shared" si="3"/>
        <v>0.5</v>
      </c>
      <c r="D33" s="4">
        <f t="shared" si="7"/>
        <v>50.273437695752364</v>
      </c>
      <c r="E33" s="4">
        <f t="shared" si="8"/>
        <v>-4.7937500748783348</v>
      </c>
      <c r="H33" s="4">
        <v>0.5</v>
      </c>
      <c r="I33" s="4">
        <f t="shared" si="4"/>
        <v>0.5</v>
      </c>
      <c r="J33" s="2"/>
      <c r="K33" s="4">
        <f t="shared" si="9"/>
        <v>7.6874998994171619</v>
      </c>
      <c r="L33" s="4">
        <f t="shared" si="9"/>
        <v>8.5672620299393838</v>
      </c>
      <c r="M33" s="4">
        <f t="shared" si="9"/>
        <v>8.9681193935294612</v>
      </c>
      <c r="N33" s="4">
        <f t="shared" si="9"/>
        <v>9.0680110524939561</v>
      </c>
      <c r="O33" s="4">
        <f t="shared" si="9"/>
        <v>8.8628585159736417</v>
      </c>
      <c r="P33" s="4">
        <f t="shared" si="9"/>
        <v>8.3209029798633569</v>
      </c>
      <c r="Q33" s="4">
        <f t="shared" si="9"/>
        <v>7.3994055580197875</v>
      </c>
      <c r="R33" s="4">
        <f t="shared" si="9"/>
        <v>6.0620500384699136</v>
      </c>
      <c r="S33" s="4">
        <f t="shared" si="9"/>
        <v>4.32616336995628</v>
      </c>
      <c r="T33" s="4">
        <f t="shared" si="9"/>
        <v>2.3118938027727904</v>
      </c>
      <c r="U33" s="4">
        <f t="shared" si="6"/>
        <v>0.21091408030685382</v>
      </c>
    </row>
    <row r="34" spans="2:21" x14ac:dyDescent="0.3">
      <c r="B34" s="4">
        <v>0.6</v>
      </c>
      <c r="C34" s="4">
        <f t="shared" si="3"/>
        <v>0.4</v>
      </c>
      <c r="D34" s="4">
        <f t="shared" si="7"/>
        <v>59.20992045522452</v>
      </c>
      <c r="E34" s="4">
        <f t="shared" si="8"/>
        <v>-4.7745280745239267</v>
      </c>
      <c r="H34" s="4">
        <v>0.6</v>
      </c>
      <c r="I34" s="4">
        <f t="shared" si="4"/>
        <v>0.4</v>
      </c>
      <c r="J34" s="2"/>
      <c r="K34" s="4">
        <f t="shared" si="9"/>
        <v>8.3174398860168477</v>
      </c>
      <c r="L34" s="4">
        <f t="shared" si="9"/>
        <v>9.395278632450875</v>
      </c>
      <c r="M34" s="4">
        <f t="shared" si="9"/>
        <v>9.8842281118949487</v>
      </c>
      <c r="N34" s="4">
        <f t="shared" si="9"/>
        <v>10.031428269103293</v>
      </c>
      <c r="O34" s="4">
        <f t="shared" si="9"/>
        <v>9.8347047386597684</v>
      </c>
      <c r="P34" s="4">
        <f t="shared" si="9"/>
        <v>9.2583531381697259</v>
      </c>
      <c r="Q34" s="4">
        <f t="shared" si="9"/>
        <v>8.2533732976386034</v>
      </c>
      <c r="R34" s="4">
        <f t="shared" si="9"/>
        <v>6.7772665719777114</v>
      </c>
      <c r="S34" s="4">
        <f t="shared" si="9"/>
        <v>4.847180567074389</v>
      </c>
      <c r="T34" s="4">
        <f t="shared" si="9"/>
        <v>2.5958021649942249</v>
      </c>
      <c r="U34" s="4">
        <f t="shared" si="6"/>
        <v>0.23730364974318954</v>
      </c>
    </row>
    <row r="35" spans="2:21" x14ac:dyDescent="0.3">
      <c r="B35" s="4">
        <v>0.7</v>
      </c>
      <c r="C35" s="4">
        <f t="shared" si="3"/>
        <v>0.30000000000000004</v>
      </c>
      <c r="D35" s="4">
        <f t="shared" si="7"/>
        <v>68.567153148702019</v>
      </c>
      <c r="E35" s="4">
        <f t="shared" si="8"/>
        <v>-4.4117460712441208</v>
      </c>
      <c r="H35" s="4">
        <v>0.7</v>
      </c>
      <c r="I35" s="4">
        <f t="shared" si="4"/>
        <v>0.30000000000000004</v>
      </c>
      <c r="J35" s="2"/>
      <c r="K35" s="4">
        <f t="shared" si="9"/>
        <v>8.8825798874223238</v>
      </c>
      <c r="L35" s="4">
        <f t="shared" si="9"/>
        <v>10.076528440574416</v>
      </c>
      <c r="M35" s="4">
        <f t="shared" si="9"/>
        <v>10.615194874910761</v>
      </c>
      <c r="N35" s="4">
        <f t="shared" si="9"/>
        <v>10.784258024504172</v>
      </c>
      <c r="O35" s="4">
        <f t="shared" si="9"/>
        <v>10.582539309873704</v>
      </c>
      <c r="P35" s="4">
        <f t="shared" si="9"/>
        <v>9.9714661168974779</v>
      </c>
      <c r="Q35" s="4">
        <f t="shared" si="9"/>
        <v>8.8974834531117555</v>
      </c>
      <c r="R35" s="4">
        <f t="shared" si="9"/>
        <v>7.3134939633315765</v>
      </c>
      <c r="S35" s="4">
        <f t="shared" si="9"/>
        <v>5.2363102382742293</v>
      </c>
      <c r="T35" s="4">
        <f t="shared" si="9"/>
        <v>2.8074370515276259</v>
      </c>
      <c r="U35" s="4">
        <f t="shared" si="6"/>
        <v>0.25697209101026236</v>
      </c>
    </row>
    <row r="36" spans="2:21" x14ac:dyDescent="0.3">
      <c r="B36" s="4">
        <v>0.8</v>
      </c>
      <c r="C36" s="4">
        <f t="shared" si="3"/>
        <v>0.19999999999999996</v>
      </c>
      <c r="D36" s="4">
        <f t="shared" si="7"/>
        <v>78.471360682389758</v>
      </c>
      <c r="E36" s="4">
        <f t="shared" si="8"/>
        <v>-3.607904060836792</v>
      </c>
      <c r="H36" s="4">
        <v>0.8</v>
      </c>
      <c r="I36" s="4">
        <f t="shared" si="4"/>
        <v>0.19999999999999996</v>
      </c>
      <c r="J36" s="2"/>
      <c r="K36" s="4">
        <f t="shared" si="9"/>
        <v>9.5539199052429211</v>
      </c>
      <c r="L36" s="4">
        <f t="shared" si="9"/>
        <v>10.740798640765579</v>
      </c>
      <c r="M36" s="4">
        <f t="shared" si="9"/>
        <v>11.271556695620738</v>
      </c>
      <c r="N36" s="4">
        <f t="shared" si="9"/>
        <v>11.419430422810029</v>
      </c>
      <c r="O36" s="4">
        <f t="shared" si="9"/>
        <v>11.182408768469234</v>
      </c>
      <c r="P36" s="4">
        <f t="shared" si="9"/>
        <v>10.520079547210763</v>
      </c>
      <c r="Q36" s="4">
        <f t="shared" si="9"/>
        <v>9.3762317634435437</v>
      </c>
      <c r="R36" s="4">
        <f t="shared" si="9"/>
        <v>7.7010852756400991</v>
      </c>
      <c r="S36" s="4">
        <f t="shared" si="9"/>
        <v>5.5114912716777855</v>
      </c>
      <c r="T36" s="4">
        <f t="shared" si="9"/>
        <v>2.9546932404046586</v>
      </c>
      <c r="U36" s="4">
        <f t="shared" si="6"/>
        <v>0.27050996350213152</v>
      </c>
    </row>
    <row r="37" spans="2:21" x14ac:dyDescent="0.3">
      <c r="B37" s="4">
        <v>0.9</v>
      </c>
      <c r="C37" s="4">
        <f t="shared" si="3"/>
        <v>9.9999999999999978E-2</v>
      </c>
      <c r="D37" s="4">
        <f t="shared" si="7"/>
        <v>88.781467983675228</v>
      </c>
      <c r="E37" s="4">
        <f t="shared" si="8"/>
        <v>-2.2086220385133029</v>
      </c>
      <c r="H37" s="4">
        <v>0.9</v>
      </c>
      <c r="I37" s="4">
        <f t="shared" si="4"/>
        <v>9.9999999999999978E-2</v>
      </c>
      <c r="J37" s="2"/>
      <c r="K37" s="4">
        <f t="shared" si="9"/>
        <v>10.524059941517116</v>
      </c>
      <c r="L37" s="4">
        <f t="shared" si="9"/>
        <v>11.532736001066588</v>
      </c>
      <c r="M37" s="4">
        <f t="shared" si="9"/>
        <v>11.975417615673846</v>
      </c>
      <c r="N37" s="4">
        <f t="shared" si="9"/>
        <v>12.038623546886583</v>
      </c>
      <c r="O37" s="4">
        <f t="shared" si="9"/>
        <v>11.716649756212778</v>
      </c>
      <c r="P37" s="4">
        <f t="shared" si="9"/>
        <v>10.968235882537233</v>
      </c>
      <c r="Q37" s="4">
        <f t="shared" si="9"/>
        <v>9.7366406475535889</v>
      </c>
      <c r="R37" s="4">
        <f t="shared" si="9"/>
        <v>7.9716797187256692</v>
      </c>
      <c r="S37" s="4">
        <f t="shared" si="9"/>
        <v>5.6911541582179215</v>
      </c>
      <c r="T37" s="4">
        <f t="shared" si="9"/>
        <v>3.0455659229473153</v>
      </c>
      <c r="U37" s="4">
        <f t="shared" si="6"/>
        <v>0.27850782635136967</v>
      </c>
    </row>
    <row r="38" spans="2:21" x14ac:dyDescent="0.3">
      <c r="B38" s="4">
        <v>1</v>
      </c>
      <c r="C38" s="4">
        <f t="shared" si="3"/>
        <v>0</v>
      </c>
      <c r="D38" s="4">
        <f t="shared" si="7"/>
        <v>99.000000022351742</v>
      </c>
      <c r="E38" s="4">
        <f t="shared" si="8"/>
        <v>0</v>
      </c>
      <c r="H38" s="4">
        <v>1</v>
      </c>
      <c r="I38" s="4">
        <f t="shared" si="4"/>
        <v>0</v>
      </c>
      <c r="J38" s="2"/>
      <c r="K38" s="4">
        <f t="shared" si="9"/>
        <v>12</v>
      </c>
      <c r="L38" s="4">
        <f t="shared" si="9"/>
        <v>12.601714301953042</v>
      </c>
      <c r="M38" s="4">
        <f t="shared" si="9"/>
        <v>12.848951427683611</v>
      </c>
      <c r="N38" s="4">
        <f t="shared" si="9"/>
        <v>12.739977092637686</v>
      </c>
      <c r="O38" s="4">
        <f t="shared" si="9"/>
        <v>12.261366247739474</v>
      </c>
      <c r="P38" s="4">
        <f t="shared" si="9"/>
        <v>11.372028549062913</v>
      </c>
      <c r="Q38" s="4">
        <f t="shared" si="9"/>
        <v>10.017157774329755</v>
      </c>
      <c r="R38" s="4">
        <f t="shared" si="9"/>
        <v>8.1489074372180585</v>
      </c>
      <c r="S38" s="4">
        <f t="shared" si="9"/>
        <v>5.7874695282104938</v>
      </c>
      <c r="T38" s="4">
        <f t="shared" si="9"/>
        <v>3.0844916684945929</v>
      </c>
      <c r="U38" s="4">
        <f t="shared" si="6"/>
        <v>0.28121877583771493</v>
      </c>
    </row>
    <row r="39" spans="2:21" x14ac:dyDescent="0.3">
      <c r="B39" s="4"/>
      <c r="C39" s="4"/>
      <c r="D39" s="4"/>
      <c r="E39" s="4"/>
      <c r="H39" s="2"/>
      <c r="I39" s="2"/>
      <c r="J39" s="2"/>
      <c r="K39" s="2"/>
      <c r="L39" s="2"/>
    </row>
    <row r="40" spans="2:21" x14ac:dyDescent="0.3">
      <c r="B40" s="4"/>
      <c r="C40" s="4"/>
      <c r="D40" s="4"/>
      <c r="E40" s="4"/>
      <c r="H40" s="2"/>
      <c r="I40" s="2"/>
      <c r="J40" s="2"/>
      <c r="K40" s="2" t="s">
        <v>60</v>
      </c>
      <c r="L40" s="2" t="s">
        <v>65</v>
      </c>
      <c r="M40" t="s">
        <v>66</v>
      </c>
      <c r="N40" t="s">
        <v>67</v>
      </c>
      <c r="T40" t="s">
        <v>68</v>
      </c>
      <c r="U40" t="s">
        <v>71</v>
      </c>
    </row>
    <row r="41" spans="2:21" x14ac:dyDescent="0.3">
      <c r="B41" s="4"/>
      <c r="C41" s="4"/>
      <c r="D41" s="4"/>
      <c r="E41" s="4"/>
      <c r="H41" s="2"/>
      <c r="I41" s="2"/>
      <c r="J41" s="2"/>
      <c r="K41" s="4">
        <f>$I28^5*J$4+5*$I28^4*$H28*J$7+10*$I28^3*$H28^2*J$10+10*$I28^2*$H28^3*J$13+5*$I28*$H28^4*J$16+$H28^5*J$19</f>
        <v>0.5</v>
      </c>
      <c r="L41" s="4">
        <f t="shared" ref="L41:T41" si="10">$I28^5*K$4+5*$I28^4*$H28*K$7+10*$I28^3*$H28^2*K$10+10*$I28^2*$H28^3*K$13+5*$I28*$H28^4*K$16+$H28^5*K$19</f>
        <v>-1.2417417590049191</v>
      </c>
      <c r="M41" s="4">
        <f t="shared" si="10"/>
        <v>-2.6350863130002997</v>
      </c>
      <c r="N41" s="4">
        <f t="shared" si="10"/>
        <v>-3.6955143088737241</v>
      </c>
      <c r="O41" s="4">
        <f t="shared" si="10"/>
        <v>-4.4167645045914155</v>
      </c>
      <c r="P41" s="4">
        <f t="shared" si="10"/>
        <v>-4.7808712858580069</v>
      </c>
      <c r="Q41" s="4">
        <f t="shared" si="10"/>
        <v>-4.7707124581508547</v>
      </c>
      <c r="R41" s="4">
        <f t="shared" si="10"/>
        <v>-4.3677739133041573</v>
      </c>
      <c r="S41" s="4">
        <f t="shared" si="10"/>
        <v>-3.5296605546195075</v>
      </c>
      <c r="T41" s="4">
        <f t="shared" si="10"/>
        <v>-2.1541482133419123</v>
      </c>
      <c r="U41" s="4">
        <f t="shared" ref="U41:U51" si="11">$I28^5*T$4+5*$I28^4*$H28*T$7+10*$I28^3*$H28^2*T$10+10*$I28^2*$H28^3*T$13+5*$I28*$H28^4*T$16+$H28^5*T$19</f>
        <v>4.2818726342375157E-9</v>
      </c>
    </row>
    <row r="42" spans="2:21" x14ac:dyDescent="0.3">
      <c r="B42" s="4"/>
      <c r="C42" s="4"/>
      <c r="D42" s="4"/>
      <c r="E42" s="4"/>
      <c r="H42" s="2"/>
      <c r="I42" s="2"/>
      <c r="J42" s="2"/>
      <c r="K42" s="4">
        <f t="shared" ref="K42:T51" si="12">$I29^5*J$4+5*$I29^4*$H29*J$7+10*$I29^3*$H29^2*J$10+10*$I29^2*$H29^3*J$13+5*$I29*$H29^4*J$16+$H29^5*J$19</f>
        <v>0.56116250091027475</v>
      </c>
      <c r="L42" s="4">
        <f t="shared" si="12"/>
        <v>-1.147832119798702</v>
      </c>
      <c r="M42" s="4">
        <f t="shared" si="12"/>
        <v>-2.5181793764625469</v>
      </c>
      <c r="N42" s="4">
        <f t="shared" si="12"/>
        <v>-3.5594919694649385</v>
      </c>
      <c r="O42" s="4">
        <f t="shared" si="12"/>
        <v>-4.2656781746146342</v>
      </c>
      <c r="P42" s="4">
        <f t="shared" si="12"/>
        <v>-4.6193007141577889</v>
      </c>
      <c r="Q42" s="4">
        <f t="shared" si="12"/>
        <v>-4.6038015927686748</v>
      </c>
      <c r="R42" s="4">
        <f t="shared" si="12"/>
        <v>-4.2012590499454321</v>
      </c>
      <c r="S42" s="4">
        <f t="shared" si="12"/>
        <v>-3.3702037238504925</v>
      </c>
      <c r="T42" s="4">
        <f t="shared" si="12"/>
        <v>-2.0102192956726617</v>
      </c>
      <c r="U42" s="4">
        <f t="shared" si="11"/>
        <v>0.11600000803925115</v>
      </c>
    </row>
    <row r="43" spans="2:21" x14ac:dyDescent="0.3">
      <c r="B43" s="4"/>
      <c r="C43" s="4"/>
      <c r="D43" s="4"/>
      <c r="E43" s="4"/>
      <c r="H43" s="2"/>
      <c r="I43" s="2"/>
      <c r="J43" s="2"/>
      <c r="K43" s="4">
        <f t="shared" si="12"/>
        <v>0.69920000293254891</v>
      </c>
      <c r="L43" s="4">
        <f t="shared" si="12"/>
        <v>-0.9102428280581486</v>
      </c>
      <c r="M43" s="4">
        <f t="shared" si="12"/>
        <v>-2.212597202584738</v>
      </c>
      <c r="N43" s="4">
        <f t="shared" si="12"/>
        <v>-3.1962918295428486</v>
      </c>
      <c r="O43" s="4">
        <f t="shared" si="12"/>
        <v>-3.8557813929392135</v>
      </c>
      <c r="P43" s="4">
        <f t="shared" si="12"/>
        <v>-4.1753490740934911</v>
      </c>
      <c r="Q43" s="4">
        <f t="shared" si="12"/>
        <v>-4.1402973845265869</v>
      </c>
      <c r="R43" s="4">
        <f t="shared" si="12"/>
        <v>-3.7346518292112409</v>
      </c>
      <c r="S43" s="4">
        <f t="shared" si="12"/>
        <v>-2.9198344652382962</v>
      </c>
      <c r="T43" s="4">
        <f t="shared" si="12"/>
        <v>-1.600856417806964</v>
      </c>
      <c r="U43" s="4">
        <f t="shared" si="11"/>
        <v>0.44800001563876768</v>
      </c>
    </row>
    <row r="44" spans="2:21" x14ac:dyDescent="0.3">
      <c r="B44" s="4"/>
      <c r="C44" s="4"/>
      <c r="D44" s="4"/>
      <c r="E44" s="4"/>
      <c r="H44" s="2"/>
      <c r="I44" s="2"/>
      <c r="J44" s="2"/>
      <c r="K44" s="4">
        <f t="shared" si="12"/>
        <v>0.87023750524539478</v>
      </c>
      <c r="L44" s="4">
        <f t="shared" si="12"/>
        <v>-0.57470896384550241</v>
      </c>
      <c r="M44" s="4">
        <f t="shared" si="12"/>
        <v>-1.7670000076312449</v>
      </c>
      <c r="N44" s="4">
        <f t="shared" si="12"/>
        <v>-2.6560758459283282</v>
      </c>
      <c r="O44" s="4">
        <f t="shared" si="12"/>
        <v>-3.2373310408391394</v>
      </c>
      <c r="P44" s="4">
        <f t="shared" si="12"/>
        <v>-3.4980277625996936</v>
      </c>
      <c r="Q44" s="4">
        <f t="shared" si="12"/>
        <v>-3.4267158765093506</v>
      </c>
      <c r="R44" s="4">
        <f t="shared" si="12"/>
        <v>-3.0108130123478665</v>
      </c>
      <c r="S44" s="4">
        <f t="shared" si="12"/>
        <v>-2.2166108401910893</v>
      </c>
      <c r="T44" s="4">
        <f t="shared" si="12"/>
        <v>-0.95800710105339015</v>
      </c>
      <c r="U44" s="4">
        <f t="shared" si="11"/>
        <v>0.97200002208647696</v>
      </c>
    </row>
    <row r="45" spans="2:21" x14ac:dyDescent="0.3">
      <c r="B45" s="4"/>
      <c r="C45" s="4"/>
      <c r="D45" s="4"/>
      <c r="E45" s="4"/>
      <c r="H45" s="2"/>
      <c r="I45" s="2"/>
      <c r="J45" s="2"/>
      <c r="K45" s="4">
        <f t="shared" si="12"/>
        <v>1.0664000072956088</v>
      </c>
      <c r="L45" s="4">
        <f t="shared" si="12"/>
        <v>-0.15663322381838771</v>
      </c>
      <c r="M45" s="4">
        <f t="shared" si="12"/>
        <v>-1.2018291375781704</v>
      </c>
      <c r="N45" s="4">
        <f t="shared" si="12"/>
        <v>-1.9636158112953785</v>
      </c>
      <c r="O45" s="4">
        <f t="shared" si="12"/>
        <v>-2.4386781754040285</v>
      </c>
      <c r="P45" s="4">
        <f t="shared" si="12"/>
        <v>-2.6183797086395462</v>
      </c>
      <c r="Q45" s="4">
        <f t="shared" si="12"/>
        <v>-2.495756016887416</v>
      </c>
      <c r="R45" s="4">
        <f t="shared" si="12"/>
        <v>-2.0629066301075212</v>
      </c>
      <c r="S45" s="4">
        <f t="shared" si="12"/>
        <v>-1.2927482590707806</v>
      </c>
      <c r="T45" s="4">
        <f t="shared" si="12"/>
        <v>-0.11111769381626896</v>
      </c>
      <c r="U45" s="4">
        <f t="shared" si="11"/>
        <v>1.6640000235328452</v>
      </c>
    </row>
    <row r="46" spans="2:21" x14ac:dyDescent="0.3">
      <c r="B46" s="4"/>
      <c r="C46" s="4"/>
      <c r="D46" s="4"/>
      <c r="E46" s="4"/>
      <c r="H46" s="2"/>
      <c r="I46" s="2"/>
      <c r="J46" s="2"/>
      <c r="K46" s="4">
        <f t="shared" si="12"/>
        <v>1.3203125087311491</v>
      </c>
      <c r="L46" s="4">
        <f t="shared" si="12"/>
        <v>0.36270562676779949</v>
      </c>
      <c r="M46" s="4">
        <f t="shared" si="12"/>
        <v>-0.50577970915100601</v>
      </c>
      <c r="N46" s="4">
        <f t="shared" si="12"/>
        <v>-1.1151195833800487</v>
      </c>
      <c r="O46" s="4">
        <f t="shared" si="12"/>
        <v>-1.4635298011559992</v>
      </c>
      <c r="P46" s="4">
        <f t="shared" si="12"/>
        <v>-1.5472333142737198</v>
      </c>
      <c r="Q46" s="4">
        <f t="shared" si="12"/>
        <v>-1.3645725215605637</v>
      </c>
      <c r="R46" s="4">
        <f t="shared" si="12"/>
        <v>-0.91318789090857333</v>
      </c>
      <c r="S46" s="4">
        <f t="shared" si="12"/>
        <v>-0.17388914927534449</v>
      </c>
      <c r="T46" s="4">
        <f t="shared" si="12"/>
        <v>0.91317927552712497</v>
      </c>
      <c r="U46" s="4">
        <f t="shared" si="11"/>
        <v>2.5000000178449486</v>
      </c>
    </row>
    <row r="47" spans="2:21" x14ac:dyDescent="0.3">
      <c r="B47" s="4"/>
      <c r="C47" s="4"/>
      <c r="D47" s="4"/>
      <c r="E47" s="4"/>
      <c r="H47" s="2"/>
      <c r="I47" s="2"/>
      <c r="J47" s="2"/>
      <c r="K47" s="4">
        <f t="shared" si="12"/>
        <v>1.7096000093340875</v>
      </c>
      <c r="L47" s="4">
        <f t="shared" si="12"/>
        <v>1.0399443020574939</v>
      </c>
      <c r="M47" s="4">
        <f t="shared" si="12"/>
        <v>0.36772674913769021</v>
      </c>
      <c r="N47" s="4">
        <f t="shared" si="12"/>
        <v>-7.5057314189388435E-2</v>
      </c>
      <c r="O47" s="4">
        <f t="shared" si="12"/>
        <v>-0.2882106416665744</v>
      </c>
      <c r="P47" s="4">
        <f t="shared" si="12"/>
        <v>-0.27295639572938635</v>
      </c>
      <c r="Q47" s="4">
        <f t="shared" si="12"/>
        <v>-3.3048736801580714E-2</v>
      </c>
      <c r="R47" s="4">
        <f t="shared" si="12"/>
        <v>0.42820891100419689</v>
      </c>
      <c r="S47" s="4">
        <f t="shared" si="12"/>
        <v>1.1216273766788341</v>
      </c>
      <c r="T47" s="4">
        <f t="shared" si="12"/>
        <v>2.0913777457493685</v>
      </c>
      <c r="U47" s="4">
        <f t="shared" si="11"/>
        <v>3.4560000051786859</v>
      </c>
    </row>
    <row r="48" spans="2:21" x14ac:dyDescent="0.3">
      <c r="B48" s="4"/>
      <c r="C48" s="4"/>
      <c r="D48" s="4"/>
      <c r="E48" s="4"/>
      <c r="H48" s="2"/>
      <c r="I48" s="2"/>
      <c r="J48" s="2"/>
      <c r="K48" s="4">
        <f t="shared" si="12"/>
        <v>2.3613875089535483</v>
      </c>
      <c r="L48" s="4">
        <f t="shared" si="12"/>
        <v>1.9734265435925655</v>
      </c>
      <c r="M48" s="4">
        <f t="shared" si="12"/>
        <v>1.5040696559506288</v>
      </c>
      <c r="N48" s="4">
        <f t="shared" si="12"/>
        <v>1.2270123207896135</v>
      </c>
      <c r="O48" s="4">
        <f t="shared" si="12"/>
        <v>1.1410750888264376</v>
      </c>
      <c r="P48" s="4">
        <f t="shared" si="12"/>
        <v>1.2407898755308175</v>
      </c>
      <c r="Q48" s="4">
        <f t="shared" si="12"/>
        <v>1.5179304981000863</v>
      </c>
      <c r="R48" s="4">
        <f t="shared" si="12"/>
        <v>1.964482487399358</v>
      </c>
      <c r="S48" s="4">
        <f t="shared" si="12"/>
        <v>2.5834958530746217</v>
      </c>
      <c r="T48" s="4">
        <f t="shared" si="12"/>
        <v>3.4034107698956877</v>
      </c>
      <c r="U48" s="4">
        <f t="shared" si="11"/>
        <v>4.5079999885509743</v>
      </c>
    </row>
    <row r="49" spans="2:21" x14ac:dyDescent="0.3">
      <c r="B49" s="4"/>
      <c r="C49" s="4"/>
      <c r="D49" s="4"/>
      <c r="E49" s="4"/>
      <c r="H49" s="2"/>
      <c r="I49" s="2"/>
      <c r="J49" s="2"/>
      <c r="K49" s="4">
        <f t="shared" si="12"/>
        <v>3.4568000074386611</v>
      </c>
      <c r="L49" s="4">
        <f t="shared" si="12"/>
        <v>3.3069946683099296</v>
      </c>
      <c r="M49" s="4">
        <f t="shared" si="12"/>
        <v>3.030956736088124</v>
      </c>
      <c r="N49" s="4">
        <f t="shared" si="12"/>
        <v>2.899615893381096</v>
      </c>
      <c r="O49" s="4">
        <f t="shared" si="12"/>
        <v>2.9109819138020585</v>
      </c>
      <c r="P49" s="4">
        <f t="shared" si="12"/>
        <v>3.0572970317398265</v>
      </c>
      <c r="Q49" s="4">
        <f t="shared" si="12"/>
        <v>3.3282059881946755</v>
      </c>
      <c r="R49" s="4">
        <f t="shared" si="12"/>
        <v>3.7133766478985875</v>
      </c>
      <c r="S49" s="4">
        <f t="shared" si="12"/>
        <v>4.2101747929118041</v>
      </c>
      <c r="T49" s="4">
        <f t="shared" si="12"/>
        <v>4.8329631624067702</v>
      </c>
      <c r="U49" s="4">
        <f t="shared" si="11"/>
        <v>5.6319999744119666</v>
      </c>
    </row>
    <row r="50" spans="2:21" x14ac:dyDescent="0.3">
      <c r="B50" s="1"/>
      <c r="C50" s="1"/>
      <c r="D50" s="1"/>
      <c r="E50" s="1"/>
      <c r="H50" s="2"/>
      <c r="I50" s="2"/>
      <c r="J50" s="2"/>
      <c r="K50" s="4">
        <f t="shared" si="12"/>
        <v>5.2354625045714913</v>
      </c>
      <c r="L50" s="4">
        <f t="shared" si="12"/>
        <v>5.2337811165391379</v>
      </c>
      <c r="M50" s="4">
        <f t="shared" si="12"/>
        <v>5.1219513794504117</v>
      </c>
      <c r="N50" s="4">
        <f t="shared" si="12"/>
        <v>5.0925389935113712</v>
      </c>
      <c r="O50" s="4">
        <f t="shared" si="12"/>
        <v>5.1437613228392411</v>
      </c>
      <c r="P50" s="4">
        <f t="shared" si="12"/>
        <v>5.269055367757165</v>
      </c>
      <c r="Q50" s="4">
        <f t="shared" si="12"/>
        <v>5.4600713202284386</v>
      </c>
      <c r="R50" s="4">
        <f t="shared" si="12"/>
        <v>5.7083923918164157</v>
      </c>
      <c r="S50" s="4">
        <f t="shared" si="12"/>
        <v>6.0096170198247307</v>
      </c>
      <c r="T50" s="4">
        <f t="shared" si="12"/>
        <v>6.3677841462415419</v>
      </c>
      <c r="U50" s="4">
        <f t="shared" si="11"/>
        <v>6.8039999732172358</v>
      </c>
    </row>
    <row r="51" spans="2:21" x14ac:dyDescent="0.3">
      <c r="B51" s="1"/>
      <c r="C51" s="1"/>
      <c r="D51" s="1"/>
      <c r="E51" s="1"/>
      <c r="H51" s="2"/>
      <c r="I51" s="2"/>
      <c r="J51" s="2"/>
      <c r="K51" s="4">
        <f t="shared" si="12"/>
        <v>8</v>
      </c>
      <c r="L51" s="4">
        <f t="shared" si="12"/>
        <v>8</v>
      </c>
      <c r="M51" s="4">
        <f t="shared" si="12"/>
        <v>8</v>
      </c>
      <c r="N51" s="4">
        <f t="shared" si="12"/>
        <v>8</v>
      </c>
      <c r="O51" s="4">
        <f t="shared" si="12"/>
        <v>8</v>
      </c>
      <c r="P51" s="4">
        <f t="shared" si="12"/>
        <v>8</v>
      </c>
      <c r="Q51" s="4">
        <f t="shared" si="12"/>
        <v>8</v>
      </c>
      <c r="R51" s="4">
        <f t="shared" si="12"/>
        <v>8</v>
      </c>
      <c r="S51" s="4">
        <f t="shared" si="12"/>
        <v>8</v>
      </c>
      <c r="T51" s="4">
        <f t="shared" si="12"/>
        <v>8</v>
      </c>
      <c r="U51" s="4">
        <f t="shared" si="11"/>
        <v>8</v>
      </c>
    </row>
    <row r="52" spans="2:21" x14ac:dyDescent="0.3">
      <c r="B52" s="1"/>
      <c r="C52" s="1"/>
      <c r="D52" s="1"/>
      <c r="E52" s="1"/>
    </row>
    <row r="53" spans="2:21" x14ac:dyDescent="0.3">
      <c r="B53" s="1"/>
      <c r="C53" s="1"/>
      <c r="D53" s="1"/>
      <c r="E53" s="1"/>
    </row>
    <row r="54" spans="2:21" x14ac:dyDescent="0.3">
      <c r="B54" s="1"/>
      <c r="C54" s="1"/>
      <c r="D54" s="1"/>
      <c r="E54" s="1"/>
    </row>
    <row r="55" spans="2:21" x14ac:dyDescent="0.3">
      <c r="B55" s="1"/>
      <c r="C55" s="1"/>
      <c r="D55" s="1"/>
      <c r="E55" s="1"/>
    </row>
    <row r="56" spans="2:21" x14ac:dyDescent="0.3">
      <c r="B56" s="1"/>
      <c r="C56" s="1"/>
      <c r="D56" s="1"/>
      <c r="E56" s="1"/>
    </row>
    <row r="57" spans="2:21" x14ac:dyDescent="0.3">
      <c r="B57" s="1"/>
      <c r="C57" s="1"/>
      <c r="D57" s="1"/>
      <c r="E57" s="1"/>
    </row>
    <row r="58" spans="2:21" x14ac:dyDescent="0.3">
      <c r="B58" s="1"/>
      <c r="C58" s="1"/>
      <c r="D58" s="1"/>
      <c r="E58" s="1"/>
    </row>
    <row r="59" spans="2:21" x14ac:dyDescent="0.3">
      <c r="B59" s="1"/>
      <c r="C59" s="1"/>
      <c r="D59" s="1"/>
      <c r="E59" s="1"/>
    </row>
    <row r="60" spans="2:21" x14ac:dyDescent="0.3">
      <c r="B60" s="1"/>
      <c r="C60" s="1"/>
      <c r="D60" s="1"/>
      <c r="E60" s="1"/>
    </row>
    <row r="61" spans="2:21" x14ac:dyDescent="0.3">
      <c r="B61" s="1"/>
      <c r="C61" s="1"/>
      <c r="D61" s="1"/>
      <c r="E61" s="1"/>
    </row>
    <row r="62" spans="2:21" x14ac:dyDescent="0.3">
      <c r="B62" s="1"/>
      <c r="C62" s="1"/>
      <c r="D62" s="1"/>
      <c r="E62" s="1"/>
    </row>
    <row r="63" spans="2:21" x14ac:dyDescent="0.3">
      <c r="B63" s="1"/>
      <c r="C63" s="1"/>
      <c r="D63" s="1"/>
      <c r="E63" s="1"/>
    </row>
    <row r="64" spans="2:21" x14ac:dyDescent="0.3">
      <c r="B64" s="1"/>
      <c r="C64" s="1"/>
      <c r="D64" s="1"/>
      <c r="E64" s="1"/>
    </row>
    <row r="65" spans="2:5" x14ac:dyDescent="0.3">
      <c r="B65" s="1"/>
      <c r="C65" s="1"/>
      <c r="D65" s="1"/>
      <c r="E65" s="1"/>
    </row>
    <row r="66" spans="2:5" x14ac:dyDescent="0.3">
      <c r="B66" s="1"/>
      <c r="C66" s="1"/>
      <c r="D66" s="1"/>
      <c r="E66" s="1"/>
    </row>
    <row r="67" spans="2:5" x14ac:dyDescent="0.3">
      <c r="B67" s="1"/>
      <c r="C67" s="1"/>
      <c r="D67" s="1"/>
      <c r="E67" s="1"/>
    </row>
    <row r="68" spans="2:5" x14ac:dyDescent="0.3">
      <c r="B68" s="1"/>
      <c r="C68" s="1"/>
      <c r="D68" s="1"/>
      <c r="E68" s="1"/>
    </row>
    <row r="69" spans="2:5" x14ac:dyDescent="0.3">
      <c r="B69" s="1"/>
      <c r="C69" s="1"/>
      <c r="D69" s="1"/>
      <c r="E69" s="1"/>
    </row>
    <row r="70" spans="2:5" x14ac:dyDescent="0.3">
      <c r="B70" s="1"/>
      <c r="C70" s="1"/>
      <c r="D70" s="1"/>
      <c r="E70" s="1"/>
    </row>
    <row r="71" spans="2:5" x14ac:dyDescent="0.3">
      <c r="B71" s="1"/>
      <c r="C71" s="1"/>
      <c r="D71" s="1"/>
      <c r="E71" s="1"/>
    </row>
    <row r="72" spans="2:5" x14ac:dyDescent="0.3">
      <c r="B72" s="1"/>
      <c r="C72" s="1"/>
      <c r="D72" s="1"/>
      <c r="E72" s="1"/>
    </row>
    <row r="73" spans="2:5" x14ac:dyDescent="0.3">
      <c r="B73" s="1"/>
      <c r="C73" s="1"/>
      <c r="D73" s="1"/>
      <c r="E73" s="1"/>
    </row>
    <row r="74" spans="2:5" x14ac:dyDescent="0.3">
      <c r="B74" s="1"/>
      <c r="C74" s="1"/>
      <c r="D74" s="1"/>
      <c r="E74" s="1"/>
    </row>
    <row r="75" spans="2:5" x14ac:dyDescent="0.3">
      <c r="B75" s="1"/>
      <c r="C75" s="1"/>
      <c r="D75" s="1"/>
      <c r="E75" s="1"/>
    </row>
    <row r="76" spans="2:5" x14ac:dyDescent="0.3">
      <c r="B76" s="1"/>
      <c r="C76" s="1"/>
      <c r="D76" s="1"/>
      <c r="E76" s="1"/>
    </row>
    <row r="77" spans="2:5" x14ac:dyDescent="0.3">
      <c r="B77" s="1"/>
      <c r="C77" s="1"/>
      <c r="D77" s="1"/>
      <c r="E77" s="1"/>
    </row>
    <row r="78" spans="2:5" x14ac:dyDescent="0.3">
      <c r="B78" s="1"/>
      <c r="C78" s="1"/>
      <c r="D78" s="1"/>
      <c r="E78" s="1"/>
    </row>
    <row r="79" spans="2:5" x14ac:dyDescent="0.3">
      <c r="B79" s="1"/>
      <c r="C79" s="1"/>
      <c r="D79" s="1"/>
      <c r="E79" s="1"/>
    </row>
    <row r="80" spans="2:5" x14ac:dyDescent="0.3">
      <c r="B80" s="1"/>
      <c r="C80" s="1"/>
      <c r="D80" s="1"/>
      <c r="E80" s="1"/>
    </row>
    <row r="81" spans="2:5" x14ac:dyDescent="0.3">
      <c r="B81" s="1"/>
      <c r="C81" s="1"/>
      <c r="D81" s="1"/>
      <c r="E81" s="1"/>
    </row>
    <row r="82" spans="2:5" x14ac:dyDescent="0.3">
      <c r="B82" s="1"/>
      <c r="C82" s="1"/>
      <c r="D82" s="1"/>
      <c r="E82" s="1"/>
    </row>
    <row r="83" spans="2:5" x14ac:dyDescent="0.3">
      <c r="B83" s="1"/>
      <c r="C83" s="1"/>
      <c r="D83" s="1"/>
      <c r="E83" s="1"/>
    </row>
    <row r="84" spans="2:5" x14ac:dyDescent="0.3">
      <c r="B84" s="1"/>
      <c r="C84" s="1"/>
      <c r="D84" s="1"/>
      <c r="E84" s="1"/>
    </row>
    <row r="85" spans="2:5" x14ac:dyDescent="0.3">
      <c r="B85" s="1"/>
      <c r="C85" s="1"/>
      <c r="D85" s="1"/>
      <c r="E85" s="1"/>
    </row>
    <row r="86" spans="2:5" x14ac:dyDescent="0.3">
      <c r="B86" s="1"/>
      <c r="C86" s="1"/>
      <c r="D86" s="1"/>
      <c r="E86" s="1"/>
    </row>
    <row r="87" spans="2:5" x14ac:dyDescent="0.3">
      <c r="B87" s="1"/>
      <c r="C87" s="1"/>
      <c r="D87" s="1"/>
      <c r="E87" s="1"/>
    </row>
    <row r="88" spans="2:5" x14ac:dyDescent="0.3">
      <c r="B88" s="1"/>
      <c r="C88" s="1"/>
      <c r="D88" s="1"/>
      <c r="E88" s="1"/>
    </row>
    <row r="89" spans="2:5" x14ac:dyDescent="0.3">
      <c r="B89" s="1"/>
      <c r="C89" s="1"/>
      <c r="D89" s="1"/>
      <c r="E89" s="1"/>
    </row>
    <row r="90" spans="2:5" x14ac:dyDescent="0.3">
      <c r="B90" s="1"/>
      <c r="C90" s="1"/>
      <c r="D90" s="1"/>
      <c r="E90" s="1"/>
    </row>
    <row r="91" spans="2:5" x14ac:dyDescent="0.3">
      <c r="B91" s="1"/>
      <c r="C91" s="1"/>
      <c r="D91" s="1"/>
      <c r="E91" s="1"/>
    </row>
    <row r="92" spans="2:5" x14ac:dyDescent="0.3">
      <c r="B92" s="1"/>
      <c r="C92" s="1"/>
      <c r="D92" s="1"/>
      <c r="E92" s="1"/>
    </row>
    <row r="93" spans="2:5" x14ac:dyDescent="0.3">
      <c r="B93" s="1"/>
      <c r="C93" s="1"/>
      <c r="D93" s="1"/>
      <c r="E93" s="1"/>
    </row>
    <row r="94" spans="2:5" x14ac:dyDescent="0.3">
      <c r="B94" s="1"/>
      <c r="C94" s="1"/>
      <c r="D94" s="1"/>
      <c r="E94" s="1"/>
    </row>
    <row r="95" spans="2:5" x14ac:dyDescent="0.3">
      <c r="B95" s="1"/>
      <c r="C95" s="1"/>
      <c r="D95" s="1"/>
      <c r="E95" s="1"/>
    </row>
    <row r="96" spans="2:5" x14ac:dyDescent="0.3">
      <c r="B96" s="1"/>
      <c r="C96" s="1"/>
      <c r="D96" s="1"/>
      <c r="E96" s="1"/>
    </row>
    <row r="97" spans="2:5" x14ac:dyDescent="0.3">
      <c r="B97" s="1"/>
      <c r="C97" s="1"/>
      <c r="D97" s="1"/>
      <c r="E97" s="1"/>
    </row>
    <row r="98" spans="2:5" x14ac:dyDescent="0.3">
      <c r="B98" s="1"/>
      <c r="C98" s="1"/>
      <c r="D98" s="1"/>
      <c r="E98" s="1"/>
    </row>
    <row r="99" spans="2:5" x14ac:dyDescent="0.3">
      <c r="B99" s="1"/>
      <c r="C99" s="1"/>
      <c r="D99" s="1"/>
      <c r="E99" s="1"/>
    </row>
    <row r="100" spans="2:5" x14ac:dyDescent="0.3">
      <c r="B100" s="1"/>
      <c r="C100" s="1"/>
      <c r="D100" s="1"/>
      <c r="E100" s="1"/>
    </row>
    <row r="101" spans="2:5" x14ac:dyDescent="0.3">
      <c r="B101" s="1"/>
      <c r="C101" s="1"/>
      <c r="D101" s="1"/>
      <c r="E101" s="1"/>
    </row>
    <row r="102" spans="2:5" x14ac:dyDescent="0.3">
      <c r="B102" s="1"/>
      <c r="C102" s="1"/>
      <c r="D102" s="1"/>
      <c r="E102" s="1"/>
    </row>
    <row r="103" spans="2:5" x14ac:dyDescent="0.3">
      <c r="B103" s="1"/>
      <c r="C103" s="1"/>
      <c r="D103" s="1"/>
      <c r="E103" s="1"/>
    </row>
    <row r="104" spans="2:5" x14ac:dyDescent="0.3">
      <c r="B104" s="1"/>
      <c r="C104" s="1"/>
      <c r="D104" s="1"/>
      <c r="E104" s="1"/>
    </row>
  </sheetData>
  <sheetProtection sheet="1" objects="1" scenarios="1"/>
  <customSheetViews>
    <customSheetView guid="{6F7781FF-4227-45E9-9A1D-AE63B35B3D6B}" showRuler="0" topLeftCell="B1">
      <selection activeCell="D24" sqref="D24"/>
      <pageMargins left="0.75" right="0.75" top="1" bottom="1" header="0.4921259845" footer="0.4921259845"/>
      <headerFooter alignWithMargins="0"/>
    </customSheetView>
  </customSheetViews>
  <mergeCells count="2">
    <mergeCell ref="C2:D2"/>
    <mergeCell ref="C26:D26"/>
  </mergeCells>
  <phoneticPr fontId="2" type="noConversion"/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2:AC28"/>
  <sheetViews>
    <sheetView topLeftCell="E1" workbookViewId="0">
      <selection activeCell="M14" sqref="M14"/>
    </sheetView>
  </sheetViews>
  <sheetFormatPr defaultRowHeight="12.45" x14ac:dyDescent="0.3"/>
  <cols>
    <col min="1" max="1" width="24" bestFit="1" customWidth="1"/>
    <col min="2" max="2" width="11.07421875" customWidth="1"/>
    <col min="3" max="3" width="9.3828125" customWidth="1"/>
    <col min="4" max="4" width="8" bestFit="1" customWidth="1"/>
    <col min="5" max="5" width="8.15234375" bestFit="1" customWidth="1"/>
    <col min="6" max="13" width="8.53515625" bestFit="1" customWidth="1"/>
    <col min="14" max="15" width="8" customWidth="1"/>
    <col min="16" max="26" width="13" bestFit="1" customWidth="1"/>
    <col min="27" max="28" width="11.07421875" customWidth="1"/>
    <col min="29" max="29" width="13" bestFit="1" customWidth="1"/>
    <col min="30" max="256" width="11.07421875" customWidth="1"/>
  </cols>
  <sheetData>
    <row r="2" spans="1:29" x14ac:dyDescent="0.3">
      <c r="A2" t="s">
        <v>15</v>
      </c>
    </row>
    <row r="3" spans="1:29" x14ac:dyDescent="0.3">
      <c r="A3" t="s">
        <v>17</v>
      </c>
      <c r="C3">
        <v>10</v>
      </c>
    </row>
    <row r="5" spans="1:29" x14ac:dyDescent="0.3">
      <c r="P5" s="5">
        <v>1</v>
      </c>
      <c r="Q5" s="5">
        <f>Parametrique!D4</f>
        <v>0</v>
      </c>
      <c r="R5" s="5">
        <f>$Q5^2</f>
        <v>0</v>
      </c>
      <c r="S5" s="5">
        <f>$Q5^3</f>
        <v>0</v>
      </c>
      <c r="T5" s="5">
        <f>$Q5^4</f>
        <v>0</v>
      </c>
      <c r="U5" s="5">
        <f>$Q5^5</f>
        <v>0</v>
      </c>
      <c r="V5" s="5">
        <f>$Q5^6</f>
        <v>0</v>
      </c>
      <c r="W5" s="5">
        <f>$Q5^7</f>
        <v>0</v>
      </c>
      <c r="X5" s="5">
        <f>$Q5^8</f>
        <v>0</v>
      </c>
      <c r="Y5" s="5">
        <f>$Q5^9</f>
        <v>0</v>
      </c>
      <c r="Z5" s="5">
        <f>$Q5^10</f>
        <v>0</v>
      </c>
      <c r="AB5" t="s">
        <v>18</v>
      </c>
      <c r="AC5" s="1">
        <f>Parametrique!E4</f>
        <v>12</v>
      </c>
    </row>
    <row r="6" spans="1:29" x14ac:dyDescent="0.3">
      <c r="P6" s="5">
        <v>1</v>
      </c>
      <c r="Q6" s="5">
        <f>Parametrique!D5</f>
        <v>12.425950014054779</v>
      </c>
      <c r="R6" s="5">
        <f t="shared" ref="R6:R15" si="0">Q6^2</f>
        <v>154.40423375178796</v>
      </c>
      <c r="S6" s="5">
        <f t="shared" ref="S6:S15" si="1">Q6^3</f>
        <v>1918.619290558147</v>
      </c>
      <c r="T6" s="5">
        <f t="shared" ref="T6:T15" si="2">$Q6^4</f>
        <v>23840.667400476774</v>
      </c>
      <c r="U6" s="5">
        <f t="shared" ref="U6:U15" si="3">$Q6^5</f>
        <v>296242.94142002967</v>
      </c>
      <c r="V6" s="5">
        <f t="shared" ref="V6:V15" si="4">$Q6^6</f>
        <v>3681099.9821018465</v>
      </c>
      <c r="W6" s="5">
        <f t="shared" ref="W6:W15" si="5">$Q6^7</f>
        <v>45741164.37433549</v>
      </c>
      <c r="X6" s="5">
        <f t="shared" ref="X6:X15" si="6">$Q6^8</f>
        <v>568377422.10015595</v>
      </c>
      <c r="Y6" s="5">
        <f t="shared" ref="Y6:Y15" si="7">$Q6^9</f>
        <v>7062629436.133852</v>
      </c>
      <c r="Z6" s="5">
        <f t="shared" ref="Z6:Z15" si="8">$Q6^10</f>
        <v>87759880341.191132</v>
      </c>
      <c r="AB6" t="s">
        <v>19</v>
      </c>
      <c r="AC6" s="1">
        <f>Parametrique!E5</f>
        <v>12.699432015718822</v>
      </c>
    </row>
    <row r="7" spans="1:29" x14ac:dyDescent="0.3">
      <c r="P7" s="5">
        <v>1</v>
      </c>
      <c r="Q7" s="5">
        <f>Parametrique!D6</f>
        <v>24.454400093078629</v>
      </c>
      <c r="R7" s="5">
        <f t="shared" si="0"/>
        <v>598.01768391236408</v>
      </c>
      <c r="S7" s="5">
        <f t="shared" si="1"/>
        <v>14624.163705129182</v>
      </c>
      <c r="T7" s="5">
        <f t="shared" si="2"/>
        <v>357625.15027190821</v>
      </c>
      <c r="U7" s="5">
        <f t="shared" si="3"/>
        <v>8745508.5080966111</v>
      </c>
      <c r="V7" s="5">
        <f t="shared" si="4"/>
        <v>213866164.07441771</v>
      </c>
      <c r="W7" s="5">
        <f t="shared" si="5"/>
        <v>5229968742.64781</v>
      </c>
      <c r="X7" s="5">
        <f t="shared" si="6"/>
        <v>127895748107.00493</v>
      </c>
      <c r="Y7" s="5">
        <f t="shared" si="7"/>
        <v>3127613794412.3022</v>
      </c>
      <c r="Z7" s="5">
        <f t="shared" si="8"/>
        <v>76483919065190.203</v>
      </c>
      <c r="AB7" t="s">
        <v>20</v>
      </c>
      <c r="AC7" s="1">
        <f>Parametrique!E6</f>
        <v>12.841984039840703</v>
      </c>
    </row>
    <row r="8" spans="1:29" x14ac:dyDescent="0.3">
      <c r="C8" t="s">
        <v>33</v>
      </c>
      <c r="D8" t="s">
        <v>34</v>
      </c>
      <c r="E8" t="s">
        <v>31</v>
      </c>
      <c r="F8" t="s">
        <v>35</v>
      </c>
      <c r="G8" t="s">
        <v>36</v>
      </c>
      <c r="H8" t="s">
        <v>37</v>
      </c>
      <c r="I8" t="s">
        <v>38</v>
      </c>
      <c r="J8" t="s">
        <v>39</v>
      </c>
      <c r="K8" t="s">
        <v>40</v>
      </c>
      <c r="L8" t="s">
        <v>41</v>
      </c>
      <c r="M8" t="s">
        <v>42</v>
      </c>
      <c r="P8" s="5">
        <v>1</v>
      </c>
      <c r="Q8" s="5">
        <f>Parametrique!D7</f>
        <v>35.813850254595273</v>
      </c>
      <c r="R8" s="5">
        <f t="shared" si="0"/>
        <v>1282.6318700585739</v>
      </c>
      <c r="S8" s="5">
        <f t="shared" si="1"/>
        <v>45935.985726049272</v>
      </c>
      <c r="T8" s="5">
        <f t="shared" si="2"/>
        <v>1645144.5140899543</v>
      </c>
      <c r="U8" s="5">
        <f t="shared" si="3"/>
        <v>58918959.274786524</v>
      </c>
      <c r="V8" s="5">
        <f t="shared" si="4"/>
        <v>2110114784.6238019</v>
      </c>
      <c r="W8" s="5">
        <f t="shared" si="5"/>
        <v>75571334916.524414</v>
      </c>
      <c r="X8" s="5">
        <f t="shared" si="6"/>
        <v>2706500472240.272</v>
      </c>
      <c r="Y8" s="5">
        <f t="shared" si="7"/>
        <v>96930202626804.484</v>
      </c>
      <c r="Z8" s="5">
        <f t="shared" si="8"/>
        <v>3471443762023953.5</v>
      </c>
      <c r="AB8" t="s">
        <v>21</v>
      </c>
      <c r="AC8" s="1">
        <f>Parametrique!E7</f>
        <v>12.49029605241358</v>
      </c>
    </row>
    <row r="9" spans="1:29" x14ac:dyDescent="0.3">
      <c r="B9" t="s">
        <v>32</v>
      </c>
      <c r="C9" s="6">
        <f t="array" ref="C9:M9">TRANSPOSE(AC18:AC28)</f>
        <v>12</v>
      </c>
      <c r="D9" s="6">
        <v>7.4274785565761725E-2</v>
      </c>
      <c r="E9" s="6">
        <v>-6.2532148498017914E-4</v>
      </c>
      <c r="F9" s="6">
        <v>-1.2523473460444856E-4</v>
      </c>
      <c r="G9" s="6">
        <v>7.0000713412597844E-6</v>
      </c>
      <c r="H9" s="6">
        <v>-2.3125231667280933E-7</v>
      </c>
      <c r="I9" s="6">
        <v>4.759480510304863E-9</v>
      </c>
      <c r="J9" s="6">
        <v>-6.2041444701314232E-11</v>
      </c>
      <c r="K9" s="6">
        <v>4.9343408538493814E-13</v>
      </c>
      <c r="L9" s="6">
        <v>-2.1636862592579305E-15</v>
      </c>
      <c r="M9" s="6">
        <v>3.9858586873794797E-18</v>
      </c>
      <c r="N9" s="6"/>
      <c r="O9" s="6"/>
      <c r="P9" s="5">
        <v>1</v>
      </c>
      <c r="Q9" s="5">
        <f>Parametrique!D8</f>
        <v>46.364800476074237</v>
      </c>
      <c r="R9" s="5">
        <f t="shared" si="0"/>
        <v>2149.6947231861736</v>
      </c>
      <c r="S9" s="5">
        <f t="shared" si="1"/>
        <v>99670.166924996578</v>
      </c>
      <c r="T9" s="5">
        <f t="shared" si="2"/>
        <v>4621187.4028944792</v>
      </c>
      <c r="U9" s="5">
        <f t="shared" si="3"/>
        <v>214260431.89775023</v>
      </c>
      <c r="V9" s="5">
        <f t="shared" si="4"/>
        <v>9934142174.8566799</v>
      </c>
      <c r="W9" s="5">
        <f t="shared" si="5"/>
        <v>460594519838.18414</v>
      </c>
      <c r="X9" s="5">
        <f t="shared" si="6"/>
        <v>21355373012670.621</v>
      </c>
      <c r="Y9" s="5">
        <f t="shared" si="7"/>
        <v>990137608824613.75</v>
      </c>
      <c r="Z9" s="5">
        <f t="shared" si="8"/>
        <v>4.5907532677010456E+16</v>
      </c>
      <c r="AB9" t="s">
        <v>22</v>
      </c>
      <c r="AC9" s="1">
        <f>Parametrique!E8</f>
        <v>11.701248048706056</v>
      </c>
    </row>
    <row r="10" spans="1:29" x14ac:dyDescent="0.3">
      <c r="P10" s="5">
        <v>1</v>
      </c>
      <c r="Q10" s="5">
        <f>Parametrique!D9</f>
        <v>56.093750707805157</v>
      </c>
      <c r="R10" s="5">
        <f t="shared" si="0"/>
        <v>3146.5088684693915</v>
      </c>
      <c r="S10" s="5">
        <f t="shared" si="1"/>
        <v>176499.48406782013</v>
      </c>
      <c r="T10" s="5">
        <f t="shared" si="2"/>
        <v>9900518.0593565311</v>
      </c>
      <c r="U10" s="5">
        <f t="shared" si="3"/>
        <v>555357191.8996681</v>
      </c>
      <c r="V10" s="5">
        <f t="shared" si="4"/>
        <v>31152067876.206696</v>
      </c>
      <c r="W10" s="5">
        <f t="shared" si="5"/>
        <v>1747436329480.5635</v>
      </c>
      <c r="X10" s="5">
        <f t="shared" si="6"/>
        <v>98020257843644.813</v>
      </c>
      <c r="Y10" s="5">
        <f t="shared" si="7"/>
        <v>5498323907796195</v>
      </c>
      <c r="Z10" s="5">
        <f t="shared" si="8"/>
        <v>3.0842161059468486E+17</v>
      </c>
      <c r="AB10" t="s">
        <v>23</v>
      </c>
      <c r="AC10" s="1">
        <f>Parametrique!E9</f>
        <v>10.525000033900142</v>
      </c>
    </row>
    <row r="11" spans="1:29" x14ac:dyDescent="0.3">
      <c r="P11" s="5">
        <v>1</v>
      </c>
      <c r="Q11" s="5">
        <f>Parametrique!D10</f>
        <v>65.107200885772713</v>
      </c>
      <c r="R11" s="5">
        <f t="shared" si="0"/>
        <v>4238.9476071803629</v>
      </c>
      <c r="S11" s="5">
        <f t="shared" si="1"/>
        <v>275986.01340495743</v>
      </c>
      <c r="T11" s="5">
        <f t="shared" si="2"/>
        <v>17968676.816420123</v>
      </c>
      <c r="U11" s="5">
        <f t="shared" si="3"/>
        <v>1169890251.1381919</v>
      </c>
      <c r="V11" s="5">
        <f t="shared" si="4"/>
        <v>76168279595.161346</v>
      </c>
      <c r="W11" s="5">
        <f t="shared" si="5"/>
        <v>4959103480725.8721</v>
      </c>
      <c r="X11" s="5">
        <f t="shared" si="6"/>
        <v>322873346532954</v>
      </c>
      <c r="Y11" s="5">
        <f t="shared" si="7"/>
        <v>2.1021379833382744E+16</v>
      </c>
      <c r="Z11" s="5">
        <f t="shared" si="8"/>
        <v>1.3686431997081815E+18</v>
      </c>
      <c r="AB11" t="s">
        <v>24</v>
      </c>
      <c r="AC11" s="1">
        <f>Parametrique!E10</f>
        <v>9.0040320177841195</v>
      </c>
    </row>
    <row r="12" spans="1:29" x14ac:dyDescent="0.3">
      <c r="P12" s="5">
        <v>1</v>
      </c>
      <c r="Q12" s="5">
        <f>Parametrique!D11</f>
        <v>73.62565094453096</v>
      </c>
      <c r="R12" s="5">
        <f t="shared" si="0"/>
        <v>5420.736477005913</v>
      </c>
      <c r="S12" s="5">
        <f t="shared" si="1"/>
        <v>399105.25171832385</v>
      </c>
      <c r="T12" s="5">
        <f t="shared" si="2"/>
        <v>29384383.953142475</v>
      </c>
      <c r="U12" s="5">
        <f t="shared" si="3"/>
        <v>2163444396.1541448</v>
      </c>
      <c r="V12" s="5">
        <f t="shared" si="4"/>
        <v>159285001949.14664</v>
      </c>
      <c r="W12" s="5">
        <f t="shared" si="5"/>
        <v>11727461954206.805</v>
      </c>
      <c r="X12" s="5">
        <f t="shared" si="6"/>
        <v>863442020305697</v>
      </c>
      <c r="Y12" s="5">
        <f t="shared" si="7"/>
        <v>6.3571480797867864E+16</v>
      </c>
      <c r="Z12" s="5">
        <f t="shared" si="8"/>
        <v>4.680491655250772E+18</v>
      </c>
      <c r="AB12" t="s">
        <v>25</v>
      </c>
      <c r="AC12" s="1">
        <f>Parametrique!E11</f>
        <v>7.17218400944531</v>
      </c>
    </row>
    <row r="13" spans="1:29" x14ac:dyDescent="0.3">
      <c r="P13" s="5">
        <v>1</v>
      </c>
      <c r="Q13" s="5">
        <f>Parametrique!D12</f>
        <v>81.977600830078146</v>
      </c>
      <c r="R13" s="5">
        <f t="shared" si="0"/>
        <v>6720.327037855629</v>
      </c>
      <c r="S13" s="5">
        <f t="shared" si="1"/>
        <v>550916.28735691018</v>
      </c>
      <c r="T13" s="5">
        <f t="shared" si="2"/>
        <v>45162795.49573341</v>
      </c>
      <c r="U13" s="5">
        <f t="shared" si="3"/>
        <v>3702337621.5196848</v>
      </c>
      <c r="V13" s="5">
        <f t="shared" si="4"/>
        <v>303508755675.12164</v>
      </c>
      <c r="W13" s="5">
        <f t="shared" si="5"/>
        <v>24880919621168.836</v>
      </c>
      <c r="X13" s="5">
        <f t="shared" si="6"/>
        <v>2039678096989438</v>
      </c>
      <c r="Y13" s="5">
        <f t="shared" si="7"/>
        <v>1.6720791685685357E+17</v>
      </c>
      <c r="Z13" s="5">
        <f t="shared" si="8"/>
        <v>1.3707303863720036E+19</v>
      </c>
      <c r="AB13" t="s">
        <v>26</v>
      </c>
      <c r="AC13" s="1">
        <f>Parametrique!E12</f>
        <v>5.0536960119628898</v>
      </c>
    </row>
    <row r="14" spans="1:29" x14ac:dyDescent="0.3">
      <c r="B14" t="s">
        <v>30</v>
      </c>
      <c r="C14">
        <f>0</f>
        <v>0</v>
      </c>
      <c r="D14">
        <f>'Données Générales'!$B$3/10</f>
        <v>10</v>
      </c>
      <c r="E14">
        <f>2*'Données Générales'!$B$3/10</f>
        <v>20</v>
      </c>
      <c r="F14">
        <f>3*'Données Générales'!$B$3/10</f>
        <v>30</v>
      </c>
      <c r="G14">
        <f>4*'Données Générales'!$B$3/10</f>
        <v>40</v>
      </c>
      <c r="H14">
        <f>5*'Données Générales'!$B$3/10</f>
        <v>50</v>
      </c>
      <c r="I14">
        <f>6*'Données Générales'!$B$3/10</f>
        <v>60</v>
      </c>
      <c r="J14">
        <f>7*'Données Générales'!$B$3/10</f>
        <v>70</v>
      </c>
      <c r="K14">
        <f>8*'Données Générales'!$B$3/10</f>
        <v>80</v>
      </c>
      <c r="L14">
        <f>9*'Données Générales'!$B$3/10</f>
        <v>90</v>
      </c>
      <c r="M14">
        <f>10*'Données Générales'!$B$3/10</f>
        <v>100</v>
      </c>
      <c r="P14" s="5">
        <v>1</v>
      </c>
      <c r="Q14" s="5">
        <f>Parametrique!D13</f>
        <v>90.593550512731099</v>
      </c>
      <c r="R14" s="5">
        <f t="shared" si="0"/>
        <v>8207.1913945027609</v>
      </c>
      <c r="S14" s="5">
        <f t="shared" si="1"/>
        <v>743518.60816553782</v>
      </c>
      <c r="T14" s="5">
        <f t="shared" si="2"/>
        <v>67357990.586000174</v>
      </c>
      <c r="U14" s="5">
        <f t="shared" si="3"/>
        <v>6102199522.5888729</v>
      </c>
      <c r="V14" s="5">
        <f t="shared" si="4"/>
        <v>552819920688.41858</v>
      </c>
      <c r="W14" s="5">
        <f t="shared" si="5"/>
        <v>50081919409330.25</v>
      </c>
      <c r="X14" s="5">
        <f t="shared" si="6"/>
        <v>4537098895783688</v>
      </c>
      <c r="Y14" s="5">
        <f t="shared" si="7"/>
        <v>4.1103189799643603E+17</v>
      </c>
      <c r="Z14" s="5">
        <f t="shared" si="8"/>
        <v>3.7236839013483864E+19</v>
      </c>
      <c r="AB14" t="s">
        <v>27</v>
      </c>
      <c r="AC14" s="1">
        <f>Parametrique!E13</f>
        <v>2.6622480171006915</v>
      </c>
    </row>
    <row r="15" spans="1:29" x14ac:dyDescent="0.3">
      <c r="B15" t="s">
        <v>44</v>
      </c>
      <c r="C15" s="6">
        <f>$C$9+$D$9*C$14+$E$9*POWER(C$14,2)+$F$9*POWER(C$14,3)+$G$9*POWER(C$14,4)+$H$9*POWER(C$14,5)+$I$9*POWER(C$14,6)+$J$9*POWER(C$14,7)+$K$9*POWER(C$14,8)+$L$9*POWER(C$14,9)+$M$9*POWER(C$14,10)</f>
        <v>12</v>
      </c>
      <c r="D15" s="6">
        <f t="shared" ref="D15:M15" si="9">$C$9+$D$9*D$14+$E$9*POWER(D$14,2)+$F$9*POWER(D$14,3)+$G$9*POWER(D$14,4)+$H$9*POWER(D$14,5)+$I$9*POWER(D$14,6)+$J$9*POWER(D$14,7)+$K$9*POWER(D$14,8)+$L$9*POWER(D$14,9)+$M$9*POWER(D$14,10)</f>
        <v>12.606042739944625</v>
      </c>
      <c r="E15" s="6">
        <f t="shared" si="9"/>
        <v>12.850251865592053</v>
      </c>
      <c r="F15" s="6">
        <f t="shared" si="9"/>
        <v>12.731065660312634</v>
      </c>
      <c r="G15" s="6">
        <f t="shared" si="9"/>
        <v>12.233728317473837</v>
      </c>
      <c r="H15" s="6">
        <f t="shared" si="9"/>
        <v>11.315258211189452</v>
      </c>
      <c r="I15" s="6">
        <f t="shared" si="9"/>
        <v>9.9188367457534952</v>
      </c>
      <c r="J15" s="6">
        <f t="shared" si="9"/>
        <v>7.9971877965302198</v>
      </c>
      <c r="K15" s="6">
        <f t="shared" si="9"/>
        <v>5.5787337753691943</v>
      </c>
      <c r="L15" s="6">
        <f t="shared" si="9"/>
        <v>2.8302466843669549</v>
      </c>
      <c r="M15" s="6">
        <f t="shared" si="9"/>
        <v>3.0497631087200716E-9</v>
      </c>
      <c r="P15" s="5">
        <v>1</v>
      </c>
      <c r="Q15" s="5">
        <f>Parametrique!D14</f>
        <v>100</v>
      </c>
      <c r="R15" s="5">
        <f t="shared" si="0"/>
        <v>10000</v>
      </c>
      <c r="S15" s="5">
        <f t="shared" si="1"/>
        <v>1000000</v>
      </c>
      <c r="T15" s="5">
        <f t="shared" si="2"/>
        <v>100000000</v>
      </c>
      <c r="U15" s="5">
        <f t="shared" si="3"/>
        <v>10000000000</v>
      </c>
      <c r="V15" s="5">
        <f t="shared" si="4"/>
        <v>1000000000000</v>
      </c>
      <c r="W15" s="5">
        <f t="shared" si="5"/>
        <v>100000000000000</v>
      </c>
      <c r="X15" s="5">
        <f t="shared" si="6"/>
        <v>1E+16</v>
      </c>
      <c r="Y15" s="5">
        <f t="shared" si="7"/>
        <v>1E+18</v>
      </c>
      <c r="Z15" s="5">
        <f t="shared" si="8"/>
        <v>1E+20</v>
      </c>
      <c r="AB15" t="s">
        <v>28</v>
      </c>
      <c r="AC15" s="1">
        <f>Parametrique!E14</f>
        <v>0</v>
      </c>
    </row>
    <row r="16" spans="1:29" x14ac:dyDescent="0.3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29" x14ac:dyDescent="0.3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29" x14ac:dyDescent="0.3">
      <c r="A18" t="s">
        <v>72</v>
      </c>
      <c r="B18" t="s">
        <v>30</v>
      </c>
      <c r="C18">
        <v>0</v>
      </c>
      <c r="D18">
        <f>'Données Générales'!$B$9/10</f>
        <v>9.9000000022351742</v>
      </c>
      <c r="E18">
        <f>2*'Données Générales'!$B$9/10</f>
        <v>19.800000004470348</v>
      </c>
      <c r="F18">
        <f>3*'Données Générales'!$B$9/10</f>
        <v>29.700000006705523</v>
      </c>
      <c r="G18">
        <f>4*'Données Générales'!$B$9/10</f>
        <v>39.600000008940697</v>
      </c>
      <c r="H18">
        <f>5*'Données Générales'!$B$9/10</f>
        <v>49.500000011175871</v>
      </c>
      <c r="I18">
        <f>6*'Données Générales'!$B$9/10</f>
        <v>59.400000013411045</v>
      </c>
      <c r="J18">
        <f>7*'Données Générales'!$B$9/10</f>
        <v>69.300000015646219</v>
      </c>
      <c r="K18">
        <f>8*'Données Générales'!$B$9/10</f>
        <v>79.200000017881393</v>
      </c>
      <c r="L18">
        <f>9*'Données Générales'!$B$9/10</f>
        <v>89.100000020116568</v>
      </c>
      <c r="M18">
        <f>10*'Données Générales'!$B$9/10</f>
        <v>99.000000022351742</v>
      </c>
      <c r="P18">
        <f t="array" ref="P18:Z28">MINVERSE(P5:Z15)</f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B18" t="s">
        <v>29</v>
      </c>
      <c r="AC18">
        <f t="array" ref="AC18:AC28">MMULT(P18:Z28,AC5:AC15)</f>
        <v>12</v>
      </c>
    </row>
    <row r="19" spans="1:29" x14ac:dyDescent="0.3">
      <c r="B19" t="s">
        <v>44</v>
      </c>
      <c r="C19" s="6">
        <f>$C$9+$D$9*C$18+$E$9*POWER(C$18,2)+$F$9*POWER(C$18,3)+$G$9*POWER(C$18,4)+$H$9*POWER(C$18,5)+$I$9*POWER(C$18,6)+$J$9*POWER(C$18,7)+$K$9*POWER(C$18,8)+$L$9*POWER(C$18,9)+$M$9*POWER(C$18,10)</f>
        <v>12</v>
      </c>
      <c r="D19" s="6">
        <f t="shared" ref="D19:M19" si="10">$C$9+$D$9*D$18+$E$9*POWER(D$18,2)+$F$9*POWER(D$18,3)+$G$9*POWER(D$18,4)+$H$9*POWER(D$18,5)+$I$9*POWER(D$18,6)+$J$9*POWER(D$18,7)+$K$9*POWER(D$18,8)+$L$9*POWER(D$18,9)+$M$9*POWER(D$18,10)</f>
        <v>12.601714301953042</v>
      </c>
      <c r="E19" s="6">
        <f t="shared" si="10"/>
        <v>12.848951427683611</v>
      </c>
      <c r="F19" s="6">
        <f t="shared" si="10"/>
        <v>12.739977092637686</v>
      </c>
      <c r="G19" s="6">
        <f t="shared" si="10"/>
        <v>12.261366247739474</v>
      </c>
      <c r="H19" s="6">
        <f t="shared" si="10"/>
        <v>11.372028549062913</v>
      </c>
      <c r="I19" s="6">
        <f t="shared" si="10"/>
        <v>10.017157774329755</v>
      </c>
      <c r="J19" s="6">
        <f t="shared" si="10"/>
        <v>8.1489074372180585</v>
      </c>
      <c r="K19" s="6">
        <f t="shared" si="10"/>
        <v>5.7874695282104938</v>
      </c>
      <c r="L19" s="6">
        <f t="shared" si="10"/>
        <v>3.0844916684945929</v>
      </c>
      <c r="M19" s="6">
        <f t="shared" si="10"/>
        <v>0.28121877583771493</v>
      </c>
      <c r="P19">
        <v>-0.25086499724082389</v>
      </c>
      <c r="Q19">
        <v>1.0196651354571622</v>
      </c>
      <c r="R19">
        <v>-3.0961338079406415</v>
      </c>
      <c r="S19">
        <v>7.6864308848709335</v>
      </c>
      <c r="T19">
        <v>-14.226041450069751</v>
      </c>
      <c r="U19">
        <v>18.960495256325231</v>
      </c>
      <c r="V19">
        <v>-17.549786280884874</v>
      </c>
      <c r="W19">
        <v>10.735400814384921</v>
      </c>
      <c r="X19">
        <v>-4.0251786869188075</v>
      </c>
      <c r="Y19">
        <v>0.81059834515792317</v>
      </c>
      <c r="Z19">
        <v>-6.4585213133968866E-2</v>
      </c>
      <c r="AC19">
        <v>7.4274785565761725E-2</v>
      </c>
    </row>
    <row r="20" spans="1:29" x14ac:dyDescent="0.3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P20">
        <v>2.621543814844467E-2</v>
      </c>
      <c r="Q20">
        <v>-0.17373896115302559</v>
      </c>
      <c r="R20">
        <v>0.65010314429713134</v>
      </c>
      <c r="S20">
        <v>-1.7136347215411747</v>
      </c>
      <c r="T20">
        <v>3.2619873639791854</v>
      </c>
      <c r="U20">
        <v>-4.4185101928958277</v>
      </c>
      <c r="V20">
        <v>4.1330749308684815</v>
      </c>
      <c r="W20">
        <v>-2.5473256882900475</v>
      </c>
      <c r="X20">
        <v>0.96067548240050638</v>
      </c>
      <c r="Y20">
        <v>-0.19440311298982044</v>
      </c>
      <c r="Z20">
        <v>1.5556317176681165E-2</v>
      </c>
      <c r="AC20">
        <v>-6.2532148498017914E-4</v>
      </c>
    </row>
    <row r="21" spans="1:29" x14ac:dyDescent="0.3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P21">
        <v>-1.5264013771504729E-3</v>
      </c>
      <c r="Q21">
        <v>1.2749022361082463E-2</v>
      </c>
      <c r="R21">
        <v>-5.4582202843899114E-2</v>
      </c>
      <c r="S21">
        <v>0.15365477319827822</v>
      </c>
      <c r="T21">
        <v>-0.30258708579997423</v>
      </c>
      <c r="U21">
        <v>0.41828759317459441</v>
      </c>
      <c r="V21">
        <v>-0.39659426406796644</v>
      </c>
      <c r="W21">
        <v>0.24683489061128802</v>
      </c>
      <c r="X21">
        <v>-9.3803067050070132E-2</v>
      </c>
      <c r="Y21">
        <v>1.9104308280689954E-2</v>
      </c>
      <c r="Z21">
        <v>-1.5375664869079055E-3</v>
      </c>
      <c r="AC21">
        <v>-1.2523473460444856E-4</v>
      </c>
    </row>
    <row r="22" spans="1:29" x14ac:dyDescent="0.3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P22">
        <v>5.5420205520132801E-5</v>
      </c>
      <c r="Q22">
        <v>-5.3041845586897153E-4</v>
      </c>
      <c r="R22">
        <v>2.493943648274937E-3</v>
      </c>
      <c r="S22">
        <v>-7.4422057614127769E-3</v>
      </c>
      <c r="T22">
        <v>1.5188424977531608E-2</v>
      </c>
      <c r="U22">
        <v>-2.1484388539553395E-2</v>
      </c>
      <c r="V22">
        <v>2.0696613913897946E-2</v>
      </c>
      <c r="W22">
        <v>-1.3033964070562839E-2</v>
      </c>
      <c r="X22">
        <v>4.9997858759919375E-3</v>
      </c>
      <c r="Y22">
        <v>-1.0264190870745474E-3</v>
      </c>
      <c r="Z22">
        <v>8.3207293256484842E-5</v>
      </c>
      <c r="AC22">
        <v>7.0000713412597844E-6</v>
      </c>
    </row>
    <row r="23" spans="1:29" x14ac:dyDescent="0.3">
      <c r="P23">
        <v>-1.3210503214974045E-6</v>
      </c>
      <c r="Q23">
        <v>1.3823700981294538E-5</v>
      </c>
      <c r="R23">
        <v>-6.9604939840940255E-5</v>
      </c>
      <c r="S23">
        <v>2.1818113070707178E-4</v>
      </c>
      <c r="T23">
        <v>-4.6082488504855119E-4</v>
      </c>
      <c r="U23">
        <v>6.6778594919006612E-4</v>
      </c>
      <c r="V23">
        <v>-6.5472758642217213E-4</v>
      </c>
      <c r="W23">
        <v>4.1792791354237327E-4</v>
      </c>
      <c r="X23">
        <v>-1.6208657120219848E-4</v>
      </c>
      <c r="Y23">
        <v>3.3593591259967488E-5</v>
      </c>
      <c r="Z23">
        <v>-2.7472528454127671E-6</v>
      </c>
      <c r="AC23">
        <v>-2.3125231667280933E-7</v>
      </c>
    </row>
    <row r="24" spans="1:29" x14ac:dyDescent="0.3">
      <c r="P24">
        <v>2.1056558720693499E-8</v>
      </c>
      <c r="Q24">
        <v>-2.345425072287018E-7</v>
      </c>
      <c r="R24">
        <v>1.2438329838158962E-6</v>
      </c>
      <c r="S24">
        <v>-4.062073883649143E-6</v>
      </c>
      <c r="T24">
        <v>8.8542058869038107E-6</v>
      </c>
      <c r="U24">
        <v>-1.3142949304906567E-5</v>
      </c>
      <c r="V24">
        <v>1.312800370379342E-5</v>
      </c>
      <c r="W24">
        <v>-8.5056145994098365E-6</v>
      </c>
      <c r="X24">
        <v>3.340257988168829E-6</v>
      </c>
      <c r="Y24">
        <v>-7.0002461409681671E-7</v>
      </c>
      <c r="Z24">
        <v>5.7847787888349717E-8</v>
      </c>
      <c r="AC24">
        <v>4.759480510304863E-9</v>
      </c>
    </row>
    <row r="25" spans="1:29" x14ac:dyDescent="0.3">
      <c r="P25">
        <v>-2.2258550613130291E-10</v>
      </c>
      <c r="Q25">
        <v>2.5954214393162673E-9</v>
      </c>
      <c r="R25">
        <v>-1.4330562089234015E-8</v>
      </c>
      <c r="S25">
        <v>4.8427912544442855E-8</v>
      </c>
      <c r="T25">
        <v>-1.085832032492012E-7</v>
      </c>
      <c r="U25">
        <v>1.6493950920055018E-7</v>
      </c>
      <c r="V25">
        <v>-1.6790136488087703E-7</v>
      </c>
      <c r="W25">
        <v>1.105254438613853E-7</v>
      </c>
      <c r="X25">
        <v>-4.4010427411613009E-8</v>
      </c>
      <c r="Y25">
        <v>9.3413205407439047E-9</v>
      </c>
      <c r="Z25">
        <v>-7.814644493814793E-10</v>
      </c>
      <c r="AC25">
        <v>-6.2041444701314232E-11</v>
      </c>
    </row>
    <row r="26" spans="1:29" x14ac:dyDescent="0.3">
      <c r="P26">
        <v>1.4986650388445737E-12</v>
      </c>
      <c r="Q26">
        <v>-1.8091612942657594E-11</v>
      </c>
      <c r="R26">
        <v>1.0314291106999308E-10</v>
      </c>
      <c r="S26">
        <v>-3.5867625974131905E-10</v>
      </c>
      <c r="T26">
        <v>8.2457877185431483E-10</v>
      </c>
      <c r="U26">
        <v>-1.2799056671327467E-9</v>
      </c>
      <c r="V26">
        <v>1.3274832733845424E-9</v>
      </c>
      <c r="W26">
        <v>-8.8836340437442532E-10</v>
      </c>
      <c r="X26">
        <v>3.5908725384368331E-10</v>
      </c>
      <c r="Y26">
        <v>-7.7315018802714062E-11</v>
      </c>
      <c r="Z26">
        <v>6.5610878024833051E-12</v>
      </c>
      <c r="AC26">
        <v>4.9343408538493814E-13</v>
      </c>
    </row>
    <row r="27" spans="1:29" x14ac:dyDescent="0.3">
      <c r="P27">
        <v>-5.8202928059952751E-15</v>
      </c>
      <c r="Q27">
        <v>7.2182382330467151E-14</v>
      </c>
      <c r="R27">
        <v>-4.2230255597480603E-13</v>
      </c>
      <c r="S27">
        <v>1.5043698702057493E-12</v>
      </c>
      <c r="T27">
        <v>-3.5354851051219649E-12</v>
      </c>
      <c r="U27">
        <v>5.5981717472556595E-12</v>
      </c>
      <c r="V27">
        <v>-5.9120582121811226E-12</v>
      </c>
      <c r="W27">
        <v>4.022820067565554E-12</v>
      </c>
      <c r="X27">
        <v>-1.6520851679655801E-12</v>
      </c>
      <c r="Y27">
        <v>3.6138798916655415E-13</v>
      </c>
      <c r="Z27">
        <v>-3.1180722474513771E-14</v>
      </c>
      <c r="AC27">
        <v>-2.1636862592579305E-15</v>
      </c>
    </row>
    <row r="28" spans="1:29" x14ac:dyDescent="0.3">
      <c r="P28">
        <v>9.9245046833720424E-18</v>
      </c>
      <c r="Q28">
        <v>-1.2574653095962289E-16</v>
      </c>
      <c r="R28">
        <v>7.514248874601146E-16</v>
      </c>
      <c r="S28">
        <v>-2.7320244358849443E-15</v>
      </c>
      <c r="T28">
        <v>6.5460799363266606E-15</v>
      </c>
      <c r="U28">
        <v>-1.0555358697932325E-14</v>
      </c>
      <c r="V28">
        <v>1.1339912288492795E-14</v>
      </c>
      <c r="W28">
        <v>-7.8443371272726898E-15</v>
      </c>
      <c r="X28">
        <v>3.2748333703876618E-15</v>
      </c>
      <c r="Y28">
        <v>-7.2880581994514968E-16</v>
      </c>
      <c r="Z28">
        <v>6.4097624644126251E-17</v>
      </c>
      <c r="AC28">
        <v>3.9858586873794797E-18</v>
      </c>
    </row>
  </sheetData>
  <sheetProtection sheet="1" objects="1" scenarios="1"/>
  <customSheetViews>
    <customSheetView guid="{6F7781FF-4227-45E9-9A1D-AE63B35B3D6B}" showRuler="0">
      <pageMargins left="0.75" right="0.75" top="1" bottom="1" header="0.4921259845" footer="0.4921259845"/>
      <headerFooter alignWithMargins="0"/>
    </customSheetView>
  </customSheetViews>
  <phoneticPr fontId="2" type="noConversion"/>
  <pageMargins left="0.75" right="0.75" top="1" bottom="1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2:AC28"/>
  <sheetViews>
    <sheetView topLeftCell="A3" workbookViewId="0">
      <selection activeCell="M14" sqref="M14"/>
    </sheetView>
  </sheetViews>
  <sheetFormatPr defaultRowHeight="12.45" x14ac:dyDescent="0.3"/>
  <cols>
    <col min="1" max="2" width="11.07421875" customWidth="1"/>
    <col min="3" max="4" width="8.15234375" bestFit="1" customWidth="1"/>
    <col min="5" max="5" width="9" customWidth="1"/>
    <col min="6" max="11" width="8.53515625" bestFit="1" customWidth="1"/>
    <col min="12" max="12" width="9" bestFit="1" customWidth="1"/>
    <col min="13" max="13" width="8" bestFit="1" customWidth="1"/>
    <col min="14" max="15" width="11.07421875" customWidth="1"/>
    <col min="16" max="26" width="13" bestFit="1" customWidth="1"/>
    <col min="27" max="28" width="11.07421875" customWidth="1"/>
    <col min="29" max="29" width="13" bestFit="1" customWidth="1"/>
    <col min="30" max="256" width="11.07421875" customWidth="1"/>
  </cols>
  <sheetData>
    <row r="2" spans="1:29" x14ac:dyDescent="0.3">
      <c r="A2" t="s">
        <v>16</v>
      </c>
    </row>
    <row r="3" spans="1:29" x14ac:dyDescent="0.3">
      <c r="A3" t="s">
        <v>17</v>
      </c>
      <c r="C3">
        <v>10</v>
      </c>
    </row>
    <row r="5" spans="1:29" x14ac:dyDescent="0.3">
      <c r="P5" s="5">
        <v>1</v>
      </c>
      <c r="Q5" s="5">
        <f>Parametrique!D28</f>
        <v>0</v>
      </c>
      <c r="R5" s="5">
        <f>$Q5^2</f>
        <v>0</v>
      </c>
      <c r="S5" s="5">
        <f>$Q5^3</f>
        <v>0</v>
      </c>
      <c r="T5" s="5">
        <f t="shared" ref="T5:T15" si="0">$Q5^4</f>
        <v>0</v>
      </c>
      <c r="U5" s="5">
        <f t="shared" ref="U5:U15" si="1">$Q5^5</f>
        <v>0</v>
      </c>
      <c r="V5" s="5">
        <f t="shared" ref="V5:V15" si="2">$Q5^6</f>
        <v>0</v>
      </c>
      <c r="W5" s="5">
        <f t="shared" ref="W5:W15" si="3">$Q5^7</f>
        <v>0</v>
      </c>
      <c r="X5" s="5">
        <f t="shared" ref="X5:X15" si="4">$Q5^8</f>
        <v>0</v>
      </c>
      <c r="Y5" s="5">
        <f t="shared" ref="Y5:Y15" si="5">$Q5^9</f>
        <v>0</v>
      </c>
      <c r="Z5" s="5">
        <f t="shared" ref="Z5:Z15" si="6">$Q5^10</f>
        <v>0</v>
      </c>
      <c r="AB5" t="s">
        <v>18</v>
      </c>
      <c r="AC5" s="1">
        <f>Parametrique!E28</f>
        <v>0.5</v>
      </c>
    </row>
    <row r="6" spans="1:29" x14ac:dyDescent="0.3">
      <c r="P6" s="5">
        <v>1</v>
      </c>
      <c r="Q6" s="5">
        <f>Parametrique!D29</f>
        <v>11.844607426730155</v>
      </c>
      <c r="R6" s="5">
        <f t="shared" ref="R6:R15" si="7">Q6^2</f>
        <v>140.29472509335113</v>
      </c>
      <c r="S6" s="5">
        <f t="shared" ref="S6:S15" si="8">Q6^3</f>
        <v>1661.7359427717722</v>
      </c>
      <c r="T6" s="5">
        <f t="shared" si="0"/>
        <v>19682.609889018968</v>
      </c>
      <c r="U6" s="5">
        <f t="shared" si="1"/>
        <v>233132.78726890645</v>
      </c>
      <c r="V6" s="5">
        <f t="shared" si="2"/>
        <v>2761366.3434995906</v>
      </c>
      <c r="W6" s="5">
        <f t="shared" si="3"/>
        <v>32707300.300137941</v>
      </c>
      <c r="X6" s="5">
        <f t="shared" si="4"/>
        <v>387405132.04330724</v>
      </c>
      <c r="Y6" s="5">
        <f t="shared" si="5"/>
        <v>4588661704.153533</v>
      </c>
      <c r="Z6" s="5">
        <f t="shared" si="6"/>
        <v>54350896499.769188</v>
      </c>
      <c r="AB6" t="s">
        <v>19</v>
      </c>
      <c r="AC6" s="1">
        <f>Parametrique!E29</f>
        <v>-1.5420780488730677</v>
      </c>
    </row>
    <row r="7" spans="1:29" x14ac:dyDescent="0.3">
      <c r="P7" s="5">
        <v>1</v>
      </c>
      <c r="Q7" s="5">
        <f>Parametrique!D30</f>
        <v>22.587839831378467</v>
      </c>
      <c r="R7" s="5">
        <f t="shared" si="7"/>
        <v>510.21050824800761</v>
      </c>
      <c r="S7" s="5">
        <f t="shared" si="8"/>
        <v>11524.553240592199</v>
      </c>
      <c r="T7" s="5">
        <f t="shared" si="0"/>
        <v>260314.76272669024</v>
      </c>
      <c r="U7" s="5">
        <f t="shared" si="1"/>
        <v>5879948.1662137685</v>
      </c>
      <c r="V7" s="5">
        <f t="shared" si="2"/>
        <v>132815327.39524414</v>
      </c>
      <c r="W7" s="5">
        <f t="shared" si="3"/>
        <v>3000011342.3558674</v>
      </c>
      <c r="X7" s="5">
        <f t="shared" si="4"/>
        <v>67763775693.453041</v>
      </c>
      <c r="Y7" s="5">
        <f t="shared" si="5"/>
        <v>1530637311733.1746</v>
      </c>
      <c r="Z7" s="5">
        <f t="shared" si="6"/>
        <v>34573790437360.66</v>
      </c>
      <c r="AB7" t="s">
        <v>20</v>
      </c>
      <c r="AC7" s="1">
        <f>Parametrique!E30</f>
        <v>-2.9672960684814473</v>
      </c>
    </row>
    <row r="8" spans="1:29" x14ac:dyDescent="0.3">
      <c r="C8" t="s">
        <v>33</v>
      </c>
      <c r="D8" t="s">
        <v>34</v>
      </c>
      <c r="E8" t="s">
        <v>31</v>
      </c>
      <c r="F8" t="s">
        <v>35</v>
      </c>
      <c r="G8" t="s">
        <v>36</v>
      </c>
      <c r="H8" t="s">
        <v>37</v>
      </c>
      <c r="I8" t="s">
        <v>38</v>
      </c>
      <c r="J8" t="s">
        <v>39</v>
      </c>
      <c r="K8" t="s">
        <v>40</v>
      </c>
      <c r="L8" t="s">
        <v>41</v>
      </c>
      <c r="M8" t="s">
        <v>42</v>
      </c>
      <c r="P8" s="5">
        <v>1</v>
      </c>
      <c r="Q8" s="5">
        <f>Parametrique!D31</f>
        <v>32.355922332580697</v>
      </c>
      <c r="R8" s="5">
        <f t="shared" si="7"/>
        <v>1046.9057099919942</v>
      </c>
      <c r="S8" s="5">
        <f t="shared" si="8"/>
        <v>33873.599842036216</v>
      </c>
      <c r="T8" s="5">
        <f t="shared" si="0"/>
        <v>1096011.5656138414</v>
      </c>
      <c r="U8" s="5">
        <f t="shared" si="1"/>
        <v>35462465.092611626</v>
      </c>
      <c r="V8" s="5">
        <f t="shared" si="2"/>
        <v>1147420766.2583957</v>
      </c>
      <c r="W8" s="5">
        <f t="shared" si="3"/>
        <v>37125857195.846886</v>
      </c>
      <c r="X8" s="5">
        <f t="shared" si="4"/>
        <v>1201241351959.3037</v>
      </c>
      <c r="Y8" s="5">
        <f t="shared" si="5"/>
        <v>38867271886679.461</v>
      </c>
      <c r="Z8" s="5">
        <f t="shared" si="6"/>
        <v>1257586430444697.8</v>
      </c>
      <c r="AB8" t="s">
        <v>21</v>
      </c>
      <c r="AC8" s="1">
        <f>Parametrique!E31</f>
        <v>-3.9229540740779631</v>
      </c>
    </row>
    <row r="9" spans="1:29" x14ac:dyDescent="0.3">
      <c r="B9" t="s">
        <v>43</v>
      </c>
      <c r="C9" s="6">
        <f t="array" ref="C9:M9">TRANSPOSE(AC18:AC28)</f>
        <v>0.5</v>
      </c>
      <c r="D9" s="6">
        <v>-0.19486403369127209</v>
      </c>
      <c r="E9" s="6">
        <v>2.0336802037560636E-3</v>
      </c>
      <c r="F9" s="6">
        <v>-1.7319564768962514E-5</v>
      </c>
      <c r="G9" s="6">
        <v>7.1298307969440769E-7</v>
      </c>
      <c r="H9" s="6">
        <v>-2.6719356252556859E-8</v>
      </c>
      <c r="I9" s="6">
        <v>7.3800894783322199E-10</v>
      </c>
      <c r="J9" s="6">
        <v>-1.2590926653663643E-11</v>
      </c>
      <c r="K9" s="6">
        <v>1.2533592411814673E-13</v>
      </c>
      <c r="L9" s="6">
        <v>-6.702893240632555E-16</v>
      </c>
      <c r="M9" s="6">
        <v>1.5015808698450071E-18</v>
      </c>
      <c r="P9" s="5">
        <v>1</v>
      </c>
      <c r="Q9" s="5">
        <f>Parametrique!D32</f>
        <v>41.453279964040526</v>
      </c>
      <c r="R9" s="5">
        <f t="shared" si="7"/>
        <v>1718.3744197771236</v>
      </c>
      <c r="S9" s="5">
        <f t="shared" si="8"/>
        <v>71232.255906066799</v>
      </c>
      <c r="T9" s="5">
        <f t="shared" si="0"/>
        <v>2952810.6465443661</v>
      </c>
      <c r="U9" s="5">
        <f t="shared" si="1"/>
        <v>122403686.41200313</v>
      </c>
      <c r="V9" s="5">
        <f t="shared" si="2"/>
        <v>5074034281.4673882</v>
      </c>
      <c r="W9" s="5">
        <f t="shared" si="3"/>
        <v>210335363616.80685</v>
      </c>
      <c r="X9" s="5">
        <f t="shared" si="4"/>
        <v>8719090714345.7578</v>
      </c>
      <c r="Y9" s="5">
        <f t="shared" si="5"/>
        <v>361434908413640.81</v>
      </c>
      <c r="Z9" s="5">
        <f t="shared" si="6"/>
        <v>1.4982662447247998E+16</v>
      </c>
      <c r="AB9" t="s">
        <v>22</v>
      </c>
      <c r="AC9" s="1">
        <f>Parametrique!E32</f>
        <v>-4.5126720748214719</v>
      </c>
    </row>
    <row r="10" spans="1:29" x14ac:dyDescent="0.3">
      <c r="P10" s="5">
        <v>1</v>
      </c>
      <c r="Q10" s="5">
        <f>Parametrique!D33</f>
        <v>50.273437695752364</v>
      </c>
      <c r="R10" s="5">
        <f t="shared" si="7"/>
        <v>2527.4185377486947</v>
      </c>
      <c r="S10" s="5">
        <f t="shared" si="8"/>
        <v>127062.01838859855</v>
      </c>
      <c r="T10" s="5">
        <f t="shared" si="0"/>
        <v>6387844.4649557499</v>
      </c>
      <c r="U10" s="5">
        <f t="shared" si="1"/>
        <v>321138900.71910948</v>
      </c>
      <c r="V10" s="5">
        <f t="shared" si="2"/>
        <v>16144756516.984554</v>
      </c>
      <c r="W10" s="5">
        <f t="shared" si="3"/>
        <v>811652410869.71497</v>
      </c>
      <c r="X10" s="5">
        <f t="shared" si="4"/>
        <v>40804556908465.813</v>
      </c>
      <c r="Y10" s="5">
        <f t="shared" si="5"/>
        <v>2051385349440537.8</v>
      </c>
      <c r="Z10" s="5">
        <f t="shared" si="6"/>
        <v>1.0313019355507806E+17</v>
      </c>
      <c r="AB10" t="s">
        <v>23</v>
      </c>
      <c r="AC10" s="1">
        <f>Parametrique!E33</f>
        <v>-4.7937500748783348</v>
      </c>
    </row>
    <row r="11" spans="1:29" x14ac:dyDescent="0.3">
      <c r="P11" s="5">
        <v>1</v>
      </c>
      <c r="Q11" s="5">
        <f>Parametrique!D34</f>
        <v>59.20992045522452</v>
      </c>
      <c r="R11" s="5">
        <f t="shared" si="7"/>
        <v>3505.8146803140148</v>
      </c>
      <c r="S11" s="5">
        <f t="shared" si="8"/>
        <v>207579.0083521512</v>
      </c>
      <c r="T11" s="5">
        <f t="shared" si="0"/>
        <v>12290736.572705258</v>
      </c>
      <c r="U11" s="5">
        <f t="shared" si="1"/>
        <v>727733534.80599713</v>
      </c>
      <c r="V11" s="5">
        <f t="shared" si="2"/>
        <v>43089044708.462456</v>
      </c>
      <c r="W11" s="5">
        <f t="shared" si="3"/>
        <v>2551298909679.6748</v>
      </c>
      <c r="X11" s="5">
        <f t="shared" si="4"/>
        <v>151062205499634.59</v>
      </c>
      <c r="Y11" s="5">
        <f t="shared" si="5"/>
        <v>8944381171424144</v>
      </c>
      <c r="Z11" s="5">
        <f t="shared" si="6"/>
        <v>5.2959609768123149E+17</v>
      </c>
      <c r="AB11" t="s">
        <v>24</v>
      </c>
      <c r="AC11" s="1">
        <f>Parametrique!E34</f>
        <v>-4.7745280745239267</v>
      </c>
    </row>
    <row r="12" spans="1:29" x14ac:dyDescent="0.3">
      <c r="P12" s="5">
        <v>1</v>
      </c>
      <c r="Q12" s="5">
        <f>Parametrique!D35</f>
        <v>68.567153148702019</v>
      </c>
      <c r="R12" s="5">
        <f t="shared" si="7"/>
        <v>4701.4544909175575</v>
      </c>
      <c r="S12" s="5">
        <f t="shared" si="8"/>
        <v>322365.35010039707</v>
      </c>
      <c r="T12" s="5">
        <f t="shared" si="0"/>
        <v>22103674.330168869</v>
      </c>
      <c r="U12" s="5">
        <f t="shared" si="1"/>
        <v>1515586022.9457223</v>
      </c>
      <c r="V12" s="5">
        <f t="shared" si="2"/>
        <v>103919418945.35156</v>
      </c>
      <c r="W12" s="5">
        <f t="shared" si="3"/>
        <v>7125458713950.0469</v>
      </c>
      <c r="X12" s="5">
        <f t="shared" si="4"/>
        <v>488572418894166.19</v>
      </c>
      <c r="Y12" s="5">
        <f t="shared" si="5"/>
        <v>3.3500019870548088E+16</v>
      </c>
      <c r="Z12" s="5">
        <f t="shared" si="6"/>
        <v>2.2970009929484316E+18</v>
      </c>
      <c r="AB12" t="s">
        <v>25</v>
      </c>
      <c r="AC12" s="1">
        <f>Parametrique!E35</f>
        <v>-4.4117460712441208</v>
      </c>
    </row>
    <row r="13" spans="1:29" x14ac:dyDescent="0.3">
      <c r="P13" s="5">
        <v>1</v>
      </c>
      <c r="Q13" s="5">
        <f>Parametrique!D36</f>
        <v>78.471360682389758</v>
      </c>
      <c r="R13" s="5">
        <f t="shared" si="7"/>
        <v>6157.7544473457056</v>
      </c>
      <c r="S13" s="5">
        <f t="shared" si="8"/>
        <v>483207.37023125449</v>
      </c>
      <c r="T13" s="5">
        <f t="shared" si="0"/>
        <v>37917939.833805814</v>
      </c>
      <c r="U13" s="5">
        <f t="shared" si="1"/>
        <v>2975472333.0317302</v>
      </c>
      <c r="V13" s="5">
        <f t="shared" si="2"/>
        <v>233489362645.80463</v>
      </c>
      <c r="W13" s="5">
        <f t="shared" si="3"/>
        <v>18322227991680.238</v>
      </c>
      <c r="X13" s="5">
        <f t="shared" si="4"/>
        <v>1437770161240117.8</v>
      </c>
      <c r="Y13" s="5">
        <f t="shared" si="5"/>
        <v>1.1282378090105096E+17</v>
      </c>
      <c r="Z13" s="5">
        <f t="shared" si="6"/>
        <v>8.8534356046372874E+18</v>
      </c>
      <c r="AB13" t="s">
        <v>26</v>
      </c>
      <c r="AC13" s="1">
        <f>Parametrique!E36</f>
        <v>-3.607904060836792</v>
      </c>
    </row>
    <row r="14" spans="1:29" x14ac:dyDescent="0.3">
      <c r="B14" t="s">
        <v>30</v>
      </c>
      <c r="C14">
        <v>0</v>
      </c>
      <c r="D14">
        <f>'Données Générales'!$B$9/10</f>
        <v>9.9000000022351742</v>
      </c>
      <c r="E14">
        <f>2*'Données Générales'!$B$9/10</f>
        <v>19.800000004470348</v>
      </c>
      <c r="F14">
        <f>3*'Données Générales'!$B$9/10</f>
        <v>29.700000006705523</v>
      </c>
      <c r="G14">
        <f>4*'Données Générales'!$B$9/10</f>
        <v>39.600000008940697</v>
      </c>
      <c r="H14">
        <f>5*'Données Générales'!$B$9/10</f>
        <v>49.500000011175871</v>
      </c>
      <c r="I14">
        <f>6*'Données Générales'!$B$9/10</f>
        <v>59.400000013411045</v>
      </c>
      <c r="J14">
        <f>7*'Données Générales'!$B$9/10</f>
        <v>69.300000015646219</v>
      </c>
      <c r="K14">
        <f>8*'Données Générales'!$B$9/10</f>
        <v>79.200000017881393</v>
      </c>
      <c r="L14">
        <f>9*'Données Générales'!$B$9/10</f>
        <v>89.100000020116568</v>
      </c>
      <c r="M14">
        <f>10*'Données Générales'!$B$9/10</f>
        <v>99.000000022351742</v>
      </c>
      <c r="P14" s="5">
        <v>1</v>
      </c>
      <c r="Q14" s="5">
        <f>Parametrique!D37</f>
        <v>88.781467983675228</v>
      </c>
      <c r="R14" s="5">
        <f t="shared" si="7"/>
        <v>7882.1490573363499</v>
      </c>
      <c r="S14" s="5">
        <f t="shared" si="8"/>
        <v>699788.76417646301</v>
      </c>
      <c r="T14" s="5">
        <f t="shared" si="0"/>
        <v>62128273.762068309</v>
      </c>
      <c r="U14" s="5">
        <f t="shared" si="1"/>
        <v>5515839347.8880768</v>
      </c>
      <c r="V14" s="5">
        <f t="shared" si="2"/>
        <v>489704314467.6214</v>
      </c>
      <c r="W14" s="5">
        <f t="shared" si="3"/>
        <v>43476667916374.758</v>
      </c>
      <c r="X14" s="5">
        <f t="shared" si="4"/>
        <v>3859922400654505.5</v>
      </c>
      <c r="Y14" s="5">
        <f t="shared" si="5"/>
        <v>3.4268957703317882E+17</v>
      </c>
      <c r="Z14" s="5">
        <f t="shared" si="6"/>
        <v>3.0424483711710372E+19</v>
      </c>
      <c r="AB14" t="s">
        <v>27</v>
      </c>
      <c r="AC14" s="1">
        <f>Parametrique!E37</f>
        <v>-2.2086220385133029</v>
      </c>
    </row>
    <row r="15" spans="1:29" x14ac:dyDescent="0.3">
      <c r="B15" t="s">
        <v>46</v>
      </c>
      <c r="C15" s="6">
        <f>$C$9+$D$9*C$14+$E$9*POWER(C$14,2)+$F$9*POWER(C$14,3)+$G$9*POWER(C$14,4)+$H$9*POWER(C$14,5)+$I$9*POWER(C$14,6)+$J$9*POWER(C$14,7)+$K$9*POWER(C$14,8)+$L$9*POWER(C$14,9)+$M$9*POWER(C$14,10)</f>
        <v>0.5</v>
      </c>
      <c r="D15" s="6">
        <f t="shared" ref="D15:M15" si="9">$C$9+$D$9*D$14+$E$9*POWER(D$14,2)+$F$9*POWER(D$14,3)+$G$9*POWER(D$14,4)+$H$9*POWER(D$14,5)+$I$9*POWER(D$14,6)+$J$9*POWER(D$14,7)+$K$9*POWER(D$14,8)+$L$9*POWER(D$14,9)+$M$9*POWER(D$14,10)</f>
        <v>-1.2417417590049191</v>
      </c>
      <c r="E15" s="6">
        <f t="shared" si="9"/>
        <v>-2.6350863130002997</v>
      </c>
      <c r="F15" s="6">
        <f t="shared" si="9"/>
        <v>-3.6955143088737241</v>
      </c>
      <c r="G15" s="6">
        <f t="shared" si="9"/>
        <v>-4.4167645045914155</v>
      </c>
      <c r="H15" s="6">
        <f t="shared" si="9"/>
        <v>-4.7808712858580069</v>
      </c>
      <c r="I15" s="6">
        <f t="shared" si="9"/>
        <v>-4.7707124581508547</v>
      </c>
      <c r="J15" s="6">
        <f t="shared" si="9"/>
        <v>-4.3677739133041573</v>
      </c>
      <c r="K15" s="6">
        <f t="shared" si="9"/>
        <v>-3.5296605546195075</v>
      </c>
      <c r="L15" s="6">
        <f t="shared" si="9"/>
        <v>-2.1541482133419123</v>
      </c>
      <c r="M15" s="6">
        <f t="shared" si="9"/>
        <v>4.2818726342375157E-9</v>
      </c>
      <c r="P15" s="5">
        <v>1</v>
      </c>
      <c r="Q15" s="5">
        <f>Parametrique!D38</f>
        <v>99.000000022351742</v>
      </c>
      <c r="R15" s="5">
        <f t="shared" si="7"/>
        <v>9801.0000044256449</v>
      </c>
      <c r="S15" s="5">
        <f t="shared" si="8"/>
        <v>970299.00065720826</v>
      </c>
      <c r="T15" s="5">
        <f t="shared" si="0"/>
        <v>96059601.086751491</v>
      </c>
      <c r="U15" s="5">
        <f t="shared" si="1"/>
        <v>9509900509.7354965</v>
      </c>
      <c r="V15" s="5">
        <f t="shared" si="2"/>
        <v>941480150676.37708</v>
      </c>
      <c r="W15" s="5">
        <f t="shared" si="3"/>
        <v>93206534938005.047</v>
      </c>
      <c r="X15" s="5">
        <f t="shared" si="4"/>
        <v>9227446960945828</v>
      </c>
      <c r="Y15" s="5">
        <f t="shared" si="5"/>
        <v>9.1351724933988646E+17</v>
      </c>
      <c r="Z15" s="5">
        <f t="shared" si="6"/>
        <v>9.0438207705067471E+19</v>
      </c>
      <c r="AB15" t="s">
        <v>28</v>
      </c>
      <c r="AC15" s="1">
        <f>Parametrique!E38</f>
        <v>0</v>
      </c>
    </row>
    <row r="18" spans="16:29" x14ac:dyDescent="0.3">
      <c r="P18">
        <f t="array" ref="P18:Z28">MINVERSE(P5:Z15)</f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B18" t="s">
        <v>29</v>
      </c>
      <c r="AC18">
        <f t="array" ref="AC18:AC28">MMULT(P18:Z28,AC5:AC15)</f>
        <v>0.5</v>
      </c>
    </row>
    <row r="19" spans="16:29" x14ac:dyDescent="0.3">
      <c r="P19">
        <v>-0.2692006494514852</v>
      </c>
      <c r="Q19">
        <v>1.1964278541834426</v>
      </c>
      <c r="R19">
        <v>-3.7952769867370382</v>
      </c>
      <c r="S19">
        <v>8.7616636747505634</v>
      </c>
      <c r="T19">
        <v>-13.512133337514596</v>
      </c>
      <c r="U19">
        <v>13.742976957693815</v>
      </c>
      <c r="V19">
        <v>-9.1920446768919604</v>
      </c>
      <c r="W19">
        <v>4.0231846603683081</v>
      </c>
      <c r="X19">
        <v>-1.1336055322747765</v>
      </c>
      <c r="Y19">
        <v>0.19431168531586207</v>
      </c>
      <c r="Z19">
        <v>-1.6303649403472471E-2</v>
      </c>
      <c r="AC19">
        <v>-0.19486403369127209</v>
      </c>
    </row>
    <row r="20" spans="16:29" x14ac:dyDescent="0.3">
      <c r="P20">
        <v>3.0279562011419767E-2</v>
      </c>
      <c r="Q20">
        <v>-0.22106881276432302</v>
      </c>
      <c r="R20">
        <v>0.85366801309368134</v>
      </c>
      <c r="S20">
        <v>-2.087855444428139</v>
      </c>
      <c r="T20">
        <v>3.3115145345080528</v>
      </c>
      <c r="U20">
        <v>-3.4262537470061916</v>
      </c>
      <c r="V20">
        <v>2.3192593872076812</v>
      </c>
      <c r="W20">
        <v>-1.0243688221580871</v>
      </c>
      <c r="X20">
        <v>0.29072124032796731</v>
      </c>
      <c r="Y20">
        <v>-5.0120180475607394E-2</v>
      </c>
      <c r="Z20">
        <v>4.2242696810707225E-3</v>
      </c>
      <c r="AC20">
        <v>2.0336802037560636E-3</v>
      </c>
    </row>
    <row r="21" spans="16:29" x14ac:dyDescent="0.3">
      <c r="P21">
        <v>-1.899188227506665E-3</v>
      </c>
      <c r="Q21">
        <v>1.7563221931821763E-2</v>
      </c>
      <c r="R21">
        <v>-7.7126068878864695E-2</v>
      </c>
      <c r="S21">
        <v>0.20077157073746402</v>
      </c>
      <c r="T21">
        <v>-0.3292560146017543</v>
      </c>
      <c r="U21">
        <v>0.34797895663447387</v>
      </c>
      <c r="V21">
        <v>-0.23916097194450597</v>
      </c>
      <c r="W21">
        <v>0.10688062595121398</v>
      </c>
      <c r="X21">
        <v>-3.0620272094506854E-2</v>
      </c>
      <c r="Y21">
        <v>5.3191384647406064E-3</v>
      </c>
      <c r="Z21">
        <v>-4.5099797254223443E-4</v>
      </c>
      <c r="AC21">
        <v>-1.7319564768962514E-5</v>
      </c>
    </row>
    <row r="22" spans="16:29" x14ac:dyDescent="0.3">
      <c r="P22">
        <v>7.423927573417561E-5</v>
      </c>
      <c r="Q22">
        <v>-7.8943848420552631E-4</v>
      </c>
      <c r="R22">
        <v>3.7934502534750694E-3</v>
      </c>
      <c r="S22">
        <v>-1.0434953541302071E-2</v>
      </c>
      <c r="T22">
        <v>1.7719262794924789E-2</v>
      </c>
      <c r="U22">
        <v>-1.9178774136487536E-2</v>
      </c>
      <c r="V22">
        <v>1.3418218628709556E-2</v>
      </c>
      <c r="W22">
        <v>-6.0820119616397305E-3</v>
      </c>
      <c r="X22">
        <v>1.7627207608451451E-3</v>
      </c>
      <c r="Y22">
        <v>-3.0912175400426076E-4</v>
      </c>
      <c r="Z22">
        <v>2.640816395037334E-5</v>
      </c>
      <c r="AC22">
        <v>7.1298307969440769E-7</v>
      </c>
    </row>
    <row r="23" spans="16:29" x14ac:dyDescent="0.3">
      <c r="P23">
        <v>-1.9025196310392631E-6</v>
      </c>
      <c r="Q23">
        <v>2.2172325793201337E-5</v>
      </c>
      <c r="R23">
        <v>-1.1381647055309188E-4</v>
      </c>
      <c r="S23">
        <v>3.2795435506726556E-4</v>
      </c>
      <c r="T23">
        <v>-5.7567958701571626E-4</v>
      </c>
      <c r="U23">
        <v>6.3877944392630264E-4</v>
      </c>
      <c r="V23">
        <v>-4.5578961718265829E-4</v>
      </c>
      <c r="W23">
        <v>2.0997677714182017E-4</v>
      </c>
      <c r="X23">
        <v>-6.1694816875455363E-5</v>
      </c>
      <c r="Y23">
        <v>1.0943731322892723E-5</v>
      </c>
      <c r="Z23">
        <v>-9.4362199352383684E-7</v>
      </c>
      <c r="AC23">
        <v>-2.6719356252556859E-8</v>
      </c>
    </row>
    <row r="24" spans="16:29" x14ac:dyDescent="0.3">
      <c r="P24">
        <v>3.2536072937355906E-8</v>
      </c>
      <c r="Q24">
        <v>-4.0429327424308956E-7</v>
      </c>
      <c r="R24">
        <v>2.1817507574567329E-6</v>
      </c>
      <c r="S24">
        <v>-6.5334001348369497E-6</v>
      </c>
      <c r="T24">
        <v>1.1819667413081618E-5</v>
      </c>
      <c r="U24">
        <v>-1.3440181128478476E-5</v>
      </c>
      <c r="V24">
        <v>9.790186486615063E-6</v>
      </c>
      <c r="W24">
        <v>-4.5918355290181047E-6</v>
      </c>
      <c r="X24">
        <v>1.370498712372739E-6</v>
      </c>
      <c r="Y24">
        <v>-2.4641585367379141E-7</v>
      </c>
      <c r="Z24">
        <v>2.1486477786916353E-8</v>
      </c>
      <c r="AC24">
        <v>7.3800894783322199E-10</v>
      </c>
    </row>
    <row r="25" spans="16:29" x14ac:dyDescent="0.3">
      <c r="P25">
        <v>-3.681256453006243E-10</v>
      </c>
      <c r="Q25">
        <v>4.7939551083366161E-9</v>
      </c>
      <c r="R25">
        <v>-2.6893793676303695E-8</v>
      </c>
      <c r="S25">
        <v>8.3147275873281481E-8</v>
      </c>
      <c r="T25">
        <v>-1.5449949565951132E-7</v>
      </c>
      <c r="U25">
        <v>1.7980090371090435E-7</v>
      </c>
      <c r="V25">
        <v>-1.3372597256164494E-7</v>
      </c>
      <c r="W25">
        <v>6.3930186031067108E-8</v>
      </c>
      <c r="X25">
        <v>-1.9418118211284054E-8</v>
      </c>
      <c r="Y25">
        <v>3.5466066280236179E-9</v>
      </c>
      <c r="Z25">
        <v>-3.1342159756853633E-10</v>
      </c>
      <c r="AC25">
        <v>-1.2590926653663643E-11</v>
      </c>
    </row>
    <row r="26" spans="16:29" x14ac:dyDescent="0.3">
      <c r="P26">
        <v>2.6458592152688847E-12</v>
      </c>
      <c r="Q26">
        <v>-3.5698418587344552E-11</v>
      </c>
      <c r="R26">
        <v>2.0650728758405831E-10</v>
      </c>
      <c r="S26">
        <v>-6.5562317730476407E-10</v>
      </c>
      <c r="T26">
        <v>1.2470875111883688E-9</v>
      </c>
      <c r="U26">
        <v>-1.4826829652973178E-9</v>
      </c>
      <c r="V26">
        <v>1.1253211787500216E-9</v>
      </c>
      <c r="W26">
        <v>-5.4866410414272101E-10</v>
      </c>
      <c r="X26">
        <v>1.6985442582901721E-10</v>
      </c>
      <c r="Y26">
        <v>-3.15835139772625E-11</v>
      </c>
      <c r="Z26">
        <v>2.8359167426750528E-12</v>
      </c>
      <c r="AC26">
        <v>1.2533592411814673E-13</v>
      </c>
    </row>
    <row r="27" spans="16:29" x14ac:dyDescent="0.3">
      <c r="P27">
        <v>-1.0938095509976804E-14</v>
      </c>
      <c r="Q27">
        <v>1.5168335612325808E-13</v>
      </c>
      <c r="R27">
        <v>-8.9935882072734955E-13</v>
      </c>
      <c r="S27">
        <v>2.9192793103970913E-12</v>
      </c>
      <c r="T27">
        <v>-5.6670327760670698E-12</v>
      </c>
      <c r="U27">
        <v>6.869609476079089E-12</v>
      </c>
      <c r="V27">
        <v>-5.3152373117885253E-12</v>
      </c>
      <c r="W27">
        <v>2.6429297854197254E-12</v>
      </c>
      <c r="X27">
        <v>-8.3482030627199354E-13</v>
      </c>
      <c r="Y27">
        <v>1.583769197687077E-13</v>
      </c>
      <c r="Z27">
        <v>-1.4491537422956879E-14</v>
      </c>
      <c r="AC27">
        <v>-6.702893240632555E-16</v>
      </c>
    </row>
    <row r="28" spans="16:29" x14ac:dyDescent="0.3">
      <c r="P28">
        <v>1.9795845977245988E-17</v>
      </c>
      <c r="Q28">
        <v>-2.8053125376235131E-16</v>
      </c>
      <c r="R28">
        <v>1.697040640221562E-15</v>
      </c>
      <c r="S28">
        <v>-5.6119582170823862E-15</v>
      </c>
      <c r="T28">
        <v>1.108809372083255E-14</v>
      </c>
      <c r="U28">
        <v>-1.3677082547462816E-14</v>
      </c>
      <c r="V28">
        <v>1.0774091778176068E-14</v>
      </c>
      <c r="W28">
        <v>-5.4608487966198042E-15</v>
      </c>
      <c r="X28">
        <v>1.7609507373665133E-15</v>
      </c>
      <c r="Y28">
        <v>-3.4150361642780251E-16</v>
      </c>
      <c r="Z28">
        <v>3.1951708781221661E-17</v>
      </c>
      <c r="AC28">
        <v>1.5015808698450071E-18</v>
      </c>
    </row>
  </sheetData>
  <sheetProtection sheet="1" objects="1" scenarios="1"/>
  <phoneticPr fontId="2" type="noConversion"/>
  <pageMargins left="0.75" right="0.75" top="1" bottom="1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S193"/>
  <sheetViews>
    <sheetView workbookViewId="0"/>
  </sheetViews>
  <sheetFormatPr defaultRowHeight="12.45" x14ac:dyDescent="0.3"/>
  <cols>
    <col min="1" max="256" width="11.07421875" customWidth="1"/>
  </cols>
  <sheetData>
    <row r="1" spans="1:19" x14ac:dyDescent="0.3">
      <c r="A1" t="s">
        <v>181</v>
      </c>
    </row>
    <row r="3" spans="1:19" x14ac:dyDescent="0.3">
      <c r="A3">
        <v>0</v>
      </c>
      <c r="L3">
        <v>0</v>
      </c>
      <c r="M3">
        <v>7.1134487897494676</v>
      </c>
      <c r="N3">
        <v>0</v>
      </c>
      <c r="O3">
        <v>8.253700180456951</v>
      </c>
      <c r="P3">
        <v>0</v>
      </c>
      <c r="Q3">
        <v>8.6162587721258728</v>
      </c>
      <c r="R3">
        <v>0</v>
      </c>
      <c r="S3">
        <v>9</v>
      </c>
    </row>
    <row r="4" spans="1:19" x14ac:dyDescent="0.3">
      <c r="A4">
        <v>1</v>
      </c>
      <c r="L4">
        <v>0.52105263157894732</v>
      </c>
      <c r="M4">
        <v>7.3803078126207371</v>
      </c>
      <c r="N4">
        <v>0.52105263157894732</v>
      </c>
      <c r="O4">
        <v>8.343757109716698</v>
      </c>
      <c r="P4">
        <v>0.52105263157894732</v>
      </c>
      <c r="Q4">
        <v>8.7024328959786423</v>
      </c>
      <c r="R4">
        <v>0.52105263157894732</v>
      </c>
      <c r="S4">
        <v>9.0801029205322266</v>
      </c>
    </row>
    <row r="5" spans="1:19" x14ac:dyDescent="0.3">
      <c r="A5">
        <v>2</v>
      </c>
      <c r="L5">
        <v>1.0421052631578946</v>
      </c>
      <c r="M5">
        <v>7.5945383802920947</v>
      </c>
      <c r="N5">
        <v>1.0421052631578946</v>
      </c>
      <c r="O5">
        <v>8.4233391048748825</v>
      </c>
      <c r="P5">
        <v>1.0421052631578946</v>
      </c>
      <c r="Q5">
        <v>8.7879056509611964</v>
      </c>
      <c r="R5">
        <v>1.0421052631578946</v>
      </c>
      <c r="S5">
        <v>9.1590566635131836</v>
      </c>
    </row>
    <row r="6" spans="1:19" x14ac:dyDescent="0.3">
      <c r="A6">
        <v>3</v>
      </c>
      <c r="L6">
        <v>1.5631578947368421</v>
      </c>
      <c r="M6">
        <v>7.7855665945692429</v>
      </c>
      <c r="N6">
        <v>1.5631578947368421</v>
      </c>
      <c r="O6">
        <v>8.508205018493495</v>
      </c>
      <c r="P6">
        <v>1.5631578947368421</v>
      </c>
      <c r="Q6">
        <v>8.861867454030719</v>
      </c>
      <c r="R6">
        <v>1.5631578947368421</v>
      </c>
      <c r="S6">
        <v>9.2367877960205078</v>
      </c>
    </row>
    <row r="7" spans="1:19" x14ac:dyDescent="0.3">
      <c r="A7">
        <v>4</v>
      </c>
      <c r="L7">
        <v>2.0842105263157893</v>
      </c>
      <c r="M7">
        <v>7.9428241219762388</v>
      </c>
      <c r="N7">
        <v>2.0842105263157893</v>
      </c>
      <c r="O7">
        <v>8.5931259187844482</v>
      </c>
      <c r="P7">
        <v>2.0842105263157893</v>
      </c>
      <c r="Q7">
        <v>8.9454620138556216</v>
      </c>
      <c r="R7">
        <v>2.0842105263157893</v>
      </c>
      <c r="S7">
        <v>9.3132381439208984</v>
      </c>
    </row>
    <row r="8" spans="1:19" x14ac:dyDescent="0.3">
      <c r="A8">
        <v>5</v>
      </c>
      <c r="L8">
        <v>2.6052631578947367</v>
      </c>
      <c r="M8">
        <v>8.0868897199215333</v>
      </c>
      <c r="N8">
        <v>2.6052631578947367</v>
      </c>
      <c r="O8">
        <v>8.6717248223084038</v>
      </c>
      <c r="P8">
        <v>2.6052631578947367</v>
      </c>
      <c r="Q8">
        <v>9.0281818581805453</v>
      </c>
      <c r="R8">
        <v>2.6052631578947367</v>
      </c>
      <c r="S8">
        <v>9.3883562088012695</v>
      </c>
    </row>
    <row r="9" spans="1:19" x14ac:dyDescent="0.3">
      <c r="A9">
        <v>6</v>
      </c>
      <c r="J9">
        <v>3.1263157894736842</v>
      </c>
      <c r="K9">
        <v>1.8882657328965924</v>
      </c>
      <c r="L9">
        <v>3.1263157894736842</v>
      </c>
      <c r="M9">
        <v>8.2088024700666189</v>
      </c>
      <c r="N9">
        <v>3.1263157894736842</v>
      </c>
      <c r="O9">
        <v>8.7498011957452313</v>
      </c>
      <c r="P9">
        <v>3.1263157894736842</v>
      </c>
      <c r="Q9">
        <v>9.0985386816406493</v>
      </c>
      <c r="R9">
        <v>3.1263157894736842</v>
      </c>
      <c r="S9">
        <v>9.4620981216430664</v>
      </c>
    </row>
    <row r="10" spans="1:19" x14ac:dyDescent="0.3">
      <c r="A10">
        <v>7</v>
      </c>
      <c r="J10">
        <v>3.6473684210526316</v>
      </c>
      <c r="K10">
        <v>3.6720724510715779</v>
      </c>
      <c r="L10">
        <v>3.6473684210526316</v>
      </c>
      <c r="M10">
        <v>8.3234660495515502</v>
      </c>
      <c r="N10">
        <v>3.6473684210526316</v>
      </c>
      <c r="O10">
        <v>8.8273418948513243</v>
      </c>
      <c r="P10">
        <v>3.6473684210526316</v>
      </c>
      <c r="Q10">
        <v>9.1791019539627676</v>
      </c>
      <c r="R10">
        <v>3.6473684210526316</v>
      </c>
      <c r="S10">
        <v>9.5344266891479492</v>
      </c>
    </row>
    <row r="11" spans="1:19" x14ac:dyDescent="0.3">
      <c r="A11">
        <v>8</v>
      </c>
      <c r="J11">
        <v>4.1684210526315786</v>
      </c>
      <c r="K11">
        <v>4.6988551241386167</v>
      </c>
      <c r="L11">
        <v>4.1684210526315786</v>
      </c>
      <c r="M11">
        <v>8.4319119640755567</v>
      </c>
      <c r="N11">
        <v>4.1684210526315786</v>
      </c>
      <c r="O11">
        <v>8.9043367560119151</v>
      </c>
      <c r="P11">
        <v>4.1684210526315786</v>
      </c>
      <c r="Q11">
        <v>9.2468191155442057</v>
      </c>
      <c r="R11">
        <v>4.1684210526315786</v>
      </c>
      <c r="S11">
        <v>9.6053123474121094</v>
      </c>
    </row>
    <row r="12" spans="1:19" x14ac:dyDescent="0.3">
      <c r="A12">
        <v>9</v>
      </c>
      <c r="J12">
        <v>4.689473684210526</v>
      </c>
      <c r="K12">
        <v>5.4306105097484316</v>
      </c>
      <c r="L12">
        <v>4.689473684210526</v>
      </c>
      <c r="M12">
        <v>8.5267945311415581</v>
      </c>
      <c r="N12">
        <v>4.689473684210526</v>
      </c>
      <c r="O12">
        <v>8.9807823720788953</v>
      </c>
      <c r="P12">
        <v>4.689473684210526</v>
      </c>
      <c r="Q12">
        <v>9.3250987387660409</v>
      </c>
      <c r="R12">
        <v>4.689473684210526</v>
      </c>
      <c r="S12">
        <v>9.6747264862060547</v>
      </c>
    </row>
    <row r="13" spans="1:19" x14ac:dyDescent="0.3">
      <c r="A13">
        <v>10</v>
      </c>
      <c r="J13">
        <v>5.2105263157894735</v>
      </c>
      <c r="K13">
        <v>6.0048109961863148</v>
      </c>
      <c r="L13">
        <v>5.2105263157894735</v>
      </c>
      <c r="M13">
        <v>8.6184198870607105</v>
      </c>
      <c r="N13">
        <v>5.2105263157894735</v>
      </c>
      <c r="O13">
        <v>9.0488993089651988</v>
      </c>
      <c r="P13">
        <v>5.2105263157894735</v>
      </c>
      <c r="Q13">
        <v>9.3900742909090518</v>
      </c>
      <c r="R13">
        <v>5.2105263157894735</v>
      </c>
      <c r="S13">
        <v>9.7426509857177734</v>
      </c>
    </row>
    <row r="14" spans="1:19" x14ac:dyDescent="0.3">
      <c r="A14">
        <v>11</v>
      </c>
      <c r="J14">
        <v>5.7315789473684209</v>
      </c>
      <c r="K14">
        <v>6.4065330878521269</v>
      </c>
      <c r="L14">
        <v>5.7315789473684209</v>
      </c>
      <c r="M14">
        <v>8.7072901896478552</v>
      </c>
      <c r="N14">
        <v>5.7315789473684209</v>
      </c>
      <c r="O14">
        <v>9.1239322496913413</v>
      </c>
      <c r="P14">
        <v>5.7315789473684209</v>
      </c>
      <c r="Q14">
        <v>9.4659871298662619</v>
      </c>
      <c r="R14">
        <v>5.7315789473684209</v>
      </c>
      <c r="S14">
        <v>9.8090724945068359</v>
      </c>
    </row>
    <row r="15" spans="1:19" x14ac:dyDescent="0.3">
      <c r="A15">
        <v>12</v>
      </c>
      <c r="J15">
        <v>6.2526315789473683</v>
      </c>
      <c r="K15">
        <v>6.8131988376510026</v>
      </c>
      <c r="L15">
        <v>6.2526315789473683</v>
      </c>
      <c r="M15">
        <v>8.7865846084156658</v>
      </c>
      <c r="N15">
        <v>6.2526315789473683</v>
      </c>
      <c r="O15">
        <v>9.1900947051961523</v>
      </c>
      <c r="P15">
        <v>6.2526315789473683</v>
      </c>
      <c r="Q15">
        <v>9.5281565895499547</v>
      </c>
      <c r="R15">
        <v>6.2526315789473683</v>
      </c>
      <c r="S15">
        <v>9.8739748001098633</v>
      </c>
    </row>
    <row r="16" spans="1:19" x14ac:dyDescent="0.3">
      <c r="A16">
        <v>13</v>
      </c>
      <c r="J16">
        <v>6.7736842105263158</v>
      </c>
      <c r="K16">
        <v>7.133899127579383</v>
      </c>
      <c r="L16">
        <v>6.7736842105263158</v>
      </c>
      <c r="M16">
        <v>8.8643891105601504</v>
      </c>
      <c r="N16">
        <v>6.7736842105263158</v>
      </c>
      <c r="O16">
        <v>9.255160659517351</v>
      </c>
      <c r="P16">
        <v>6.7736842105263158</v>
      </c>
      <c r="Q16">
        <v>9.6016462113336001</v>
      </c>
      <c r="R16">
        <v>6.7736842105263158</v>
      </c>
      <c r="S16">
        <v>9.9373531341552734</v>
      </c>
    </row>
    <row r="17" spans="1:19" x14ac:dyDescent="0.3">
      <c r="A17">
        <v>14</v>
      </c>
      <c r="J17">
        <v>7.2947368421052632</v>
      </c>
      <c r="K17">
        <v>7.3869827097259044</v>
      </c>
      <c r="L17">
        <v>7.2947368421052632</v>
      </c>
      <c r="M17">
        <v>8.933773526828908</v>
      </c>
      <c r="N17">
        <v>7.2947368421052632</v>
      </c>
      <c r="O17">
        <v>9.3278963012592264</v>
      </c>
      <c r="P17">
        <v>7.2947368421052632</v>
      </c>
      <c r="Q17">
        <v>9.6609717972393376</v>
      </c>
      <c r="R17">
        <v>7.2947368421052632</v>
      </c>
      <c r="S17">
        <v>9.9991998672485352</v>
      </c>
    </row>
    <row r="18" spans="1:19" x14ac:dyDescent="0.3">
      <c r="A18">
        <v>15</v>
      </c>
      <c r="J18">
        <v>7.8157894736842106</v>
      </c>
      <c r="K18">
        <v>7.6500530184903335</v>
      </c>
      <c r="L18">
        <v>7.8157894736842106</v>
      </c>
      <c r="M18">
        <v>9.009292763175047</v>
      </c>
      <c r="N18">
        <v>7.8157894736842106</v>
      </c>
      <c r="O18">
        <v>9.3909895933035088</v>
      </c>
      <c r="P18">
        <v>7.8157894736842106</v>
      </c>
      <c r="Q18">
        <v>9.7320085946288071</v>
      </c>
      <c r="R18">
        <v>7.8157894736842106</v>
      </c>
      <c r="S18">
        <v>10.059515953063965</v>
      </c>
    </row>
    <row r="19" spans="1:19" x14ac:dyDescent="0.3">
      <c r="A19">
        <v>16</v>
      </c>
      <c r="J19">
        <v>8.3368421052631572</v>
      </c>
      <c r="K19">
        <v>7.8583506873890761</v>
      </c>
      <c r="L19">
        <v>8.3368421052631572</v>
      </c>
      <c r="M19">
        <v>9.0767492339959883</v>
      </c>
      <c r="N19">
        <v>8.3368421052631572</v>
      </c>
      <c r="O19">
        <v>9.4529826159823962</v>
      </c>
      <c r="P19">
        <v>8.3368421052631572</v>
      </c>
      <c r="Q19">
        <v>9.7884779450660737</v>
      </c>
      <c r="R19">
        <v>8.3368421052631572</v>
      </c>
      <c r="S19">
        <v>10.11829948425293</v>
      </c>
    </row>
    <row r="20" spans="1:19" x14ac:dyDescent="0.3">
      <c r="A20">
        <v>17</v>
      </c>
      <c r="J20">
        <v>8.8578947368421055</v>
      </c>
      <c r="K20">
        <v>8.0488316603506931</v>
      </c>
      <c r="L20">
        <v>8.8578947368421055</v>
      </c>
      <c r="M20">
        <v>9.136115951654844</v>
      </c>
      <c r="N20">
        <v>8.8578947368421055</v>
      </c>
      <c r="O20">
        <v>9.5138780932363751</v>
      </c>
      <c r="P20">
        <v>8.8578947368421055</v>
      </c>
      <c r="Q20">
        <v>9.8434613737175685</v>
      </c>
      <c r="R20">
        <v>8.8578947368421055</v>
      </c>
      <c r="S20">
        <v>10.175551414489746</v>
      </c>
    </row>
    <row r="21" spans="1:19" x14ac:dyDescent="0.3">
      <c r="A21">
        <v>18</v>
      </c>
      <c r="J21">
        <v>9.378947368421052</v>
      </c>
      <c r="K21">
        <v>8.2000225719599733</v>
      </c>
      <c r="L21">
        <v>9.378947368421052</v>
      </c>
      <c r="M21">
        <v>9.2019163758940934</v>
      </c>
      <c r="N21">
        <v>9.378947368421052</v>
      </c>
      <c r="O21">
        <v>9.573684690112513</v>
      </c>
      <c r="P21">
        <v>9.378947368421052</v>
      </c>
      <c r="Q21">
        <v>9.9106660487957967</v>
      </c>
      <c r="R21">
        <v>9.378947368421052</v>
      </c>
      <c r="S21">
        <v>10.231283187866211</v>
      </c>
    </row>
    <row r="22" spans="1:19" x14ac:dyDescent="0.3">
      <c r="A22">
        <v>19</v>
      </c>
      <c r="J22">
        <v>9.9</v>
      </c>
      <c r="K22">
        <v>8.3408630175742431</v>
      </c>
      <c r="L22">
        <v>9.9</v>
      </c>
      <c r="M22">
        <v>9.2670301689784651</v>
      </c>
      <c r="N22">
        <v>9.9</v>
      </c>
      <c r="O22">
        <v>9.6324001241896759</v>
      </c>
      <c r="P22">
        <v>9.9</v>
      </c>
      <c r="Q22">
        <v>9.9628041946164316</v>
      </c>
      <c r="R22">
        <v>9.9</v>
      </c>
      <c r="S22">
        <v>10.285491943359375</v>
      </c>
    </row>
    <row r="23" spans="1:19" x14ac:dyDescent="0.3">
      <c r="A23">
        <v>20</v>
      </c>
      <c r="H23">
        <v>10.421052631578947</v>
      </c>
      <c r="I23">
        <v>1.1985859599981148</v>
      </c>
      <c r="J23">
        <v>10.421052631578947</v>
      </c>
      <c r="K23">
        <v>8.4722229867056669</v>
      </c>
      <c r="L23">
        <v>10.421052631578947</v>
      </c>
      <c r="M23">
        <v>9.3239231558538087</v>
      </c>
      <c r="N23">
        <v>10.421052631578947</v>
      </c>
      <c r="O23">
        <v>9.6900346609299142</v>
      </c>
      <c r="P23">
        <v>10.421052631578947</v>
      </c>
      <c r="Q23">
        <v>10.013472763805666</v>
      </c>
      <c r="R23">
        <v>10.421052631578947</v>
      </c>
      <c r="S23">
        <v>10.338186264038086</v>
      </c>
    </row>
    <row r="24" spans="1:19" x14ac:dyDescent="0.3">
      <c r="A24">
        <v>21</v>
      </c>
      <c r="H24">
        <v>10.942105263157895</v>
      </c>
      <c r="I24">
        <v>3.2211940899531837</v>
      </c>
      <c r="J24">
        <v>10.942105263157895</v>
      </c>
      <c r="K24">
        <v>8.5949338461158291</v>
      </c>
      <c r="L24">
        <v>10.942105263157895</v>
      </c>
      <c r="M24">
        <v>9.3799785861096208</v>
      </c>
      <c r="N24">
        <v>10.942105263157895</v>
      </c>
      <c r="O24">
        <v>9.7465939444501739</v>
      </c>
      <c r="P24">
        <v>10.942105263157895</v>
      </c>
      <c r="Q24">
        <v>10.06268122441103</v>
      </c>
      <c r="R24">
        <v>10.942105263157895</v>
      </c>
      <c r="S24">
        <v>10.389377593994141</v>
      </c>
    </row>
    <row r="25" spans="1:19" x14ac:dyDescent="0.3">
      <c r="A25">
        <v>22</v>
      </c>
      <c r="H25">
        <v>11.463157894736842</v>
      </c>
      <c r="I25">
        <v>4.2080294538815544</v>
      </c>
      <c r="J25">
        <v>11.463157894736842</v>
      </c>
      <c r="K25">
        <v>8.7097961180384367</v>
      </c>
      <c r="L25">
        <v>11.463157894736842</v>
      </c>
      <c r="M25">
        <v>9.435226229042021</v>
      </c>
      <c r="N25">
        <v>11.463157894736842</v>
      </c>
      <c r="O25">
        <v>9.7914685247145918</v>
      </c>
      <c r="P25">
        <v>11.463157894736842</v>
      </c>
      <c r="Q25">
        <v>10.124721407410165</v>
      </c>
      <c r="R25">
        <v>11.463157894736842</v>
      </c>
      <c r="S25">
        <v>10.43907356262207</v>
      </c>
    </row>
    <row r="26" spans="1:19" x14ac:dyDescent="0.3">
      <c r="A26">
        <v>23</v>
      </c>
      <c r="H26">
        <v>11.98421052631579</v>
      </c>
      <c r="I26">
        <v>4.9037882039419625</v>
      </c>
      <c r="J26">
        <v>11.98421052631579</v>
      </c>
      <c r="K26">
        <v>8.8019715370834213</v>
      </c>
      <c r="L26">
        <v>11.98421052631579</v>
      </c>
      <c r="M26">
        <v>9.4896913998959604</v>
      </c>
      <c r="N26">
        <v>11.98421052631579</v>
      </c>
      <c r="O26">
        <v>9.8456661025029604</v>
      </c>
      <c r="P26">
        <v>11.98421052631579</v>
      </c>
      <c r="Q26">
        <v>10.171133505603379</v>
      </c>
      <c r="R26">
        <v>11.98421052631579</v>
      </c>
      <c r="S26">
        <v>10.48728084564209</v>
      </c>
    </row>
    <row r="27" spans="1:19" x14ac:dyDescent="0.3">
      <c r="A27">
        <v>24</v>
      </c>
      <c r="H27">
        <v>12.505263157894737</v>
      </c>
      <c r="I27">
        <v>5.4509256562816342</v>
      </c>
      <c r="J27">
        <v>12.505263157894737</v>
      </c>
      <c r="K27">
        <v>8.8897956475314963</v>
      </c>
      <c r="L27">
        <v>12.505263157894737</v>
      </c>
      <c r="M27">
        <v>9.5434010765538986</v>
      </c>
      <c r="N27">
        <v>12.505263157894737</v>
      </c>
      <c r="O27">
        <v>9.8988099314604909</v>
      </c>
      <c r="P27">
        <v>12.505263157894737</v>
      </c>
      <c r="Q27">
        <v>10.216109971464125</v>
      </c>
      <c r="R27">
        <v>12.505263157894737</v>
      </c>
      <c r="S27">
        <v>10.534010887145996</v>
      </c>
    </row>
    <row r="28" spans="1:19" x14ac:dyDescent="0.3">
      <c r="A28">
        <v>25</v>
      </c>
      <c r="H28">
        <v>13.026315789473685</v>
      </c>
      <c r="I28">
        <v>5.8784105428101441</v>
      </c>
      <c r="J28">
        <v>13.026315789473685</v>
      </c>
      <c r="K28">
        <v>8.9736250562542867</v>
      </c>
      <c r="L28">
        <v>13.026315789473685</v>
      </c>
      <c r="M28">
        <v>9.5963835532964659</v>
      </c>
      <c r="N28">
        <v>13.026315789473685</v>
      </c>
      <c r="O28">
        <v>9.9397134155521538</v>
      </c>
      <c r="P28">
        <v>13.026315789473685</v>
      </c>
      <c r="Q28">
        <v>10.274408296838409</v>
      </c>
      <c r="R28">
        <v>13.026315789473685</v>
      </c>
      <c r="S28">
        <v>10.579277038574219</v>
      </c>
    </row>
    <row r="29" spans="1:19" x14ac:dyDescent="0.3">
      <c r="A29">
        <v>26</v>
      </c>
      <c r="H29">
        <v>13.547368421052632</v>
      </c>
      <c r="I29">
        <v>6.2695992114300978</v>
      </c>
      <c r="J29">
        <v>13.547368421052632</v>
      </c>
      <c r="K29">
        <v>9.0538019222115391</v>
      </c>
      <c r="L29">
        <v>13.547368421052632</v>
      </c>
      <c r="M29">
        <v>9.6400198552065088</v>
      </c>
      <c r="N29">
        <v>13.547368421052632</v>
      </c>
      <c r="O29">
        <v>9.9905445343949708</v>
      </c>
      <c r="P29">
        <v>13.547368421052632</v>
      </c>
      <c r="Q29">
        <v>10.316640530786001</v>
      </c>
      <c r="R29">
        <v>13.547368421052632</v>
      </c>
      <c r="S29">
        <v>10.623086929321289</v>
      </c>
    </row>
    <row r="30" spans="1:19" x14ac:dyDescent="0.3">
      <c r="A30">
        <v>27</v>
      </c>
      <c r="H30">
        <v>14.06842105263158</v>
      </c>
      <c r="I30">
        <v>6.6271546990429284</v>
      </c>
      <c r="J30">
        <v>14.06842105263158</v>
      </c>
      <c r="K30">
        <v>9.1306527809696547</v>
      </c>
      <c r="L30">
        <v>14.06842105263158</v>
      </c>
      <c r="M30">
        <v>9.6914185300164348</v>
      </c>
      <c r="N30">
        <v>14.06842105263158</v>
      </c>
      <c r="O30">
        <v>10.040345668351796</v>
      </c>
      <c r="P30">
        <v>14.06842105263158</v>
      </c>
      <c r="Q30">
        <v>10.357465658679402</v>
      </c>
      <c r="R30">
        <v>14.06842105263158</v>
      </c>
      <c r="S30">
        <v>10.665449142456055</v>
      </c>
    </row>
    <row r="31" spans="1:19" x14ac:dyDescent="0.3">
      <c r="A31">
        <v>28</v>
      </c>
      <c r="H31">
        <v>14.589473684210526</v>
      </c>
      <c r="I31">
        <v>6.9026308683894966</v>
      </c>
      <c r="J31">
        <v>14.589473684210526</v>
      </c>
      <c r="K31">
        <v>9.1922771152979301</v>
      </c>
      <c r="L31">
        <v>14.589473684210526</v>
      </c>
      <c r="M31">
        <v>9.7331388711766831</v>
      </c>
      <c r="N31">
        <v>14.589473684210526</v>
      </c>
      <c r="O31">
        <v>10.077357632719762</v>
      </c>
      <c r="P31">
        <v>14.589473684210526</v>
      </c>
      <c r="Q31">
        <v>10.396895456563229</v>
      </c>
      <c r="R31">
        <v>14.589473684210526</v>
      </c>
      <c r="S31">
        <v>10.706377983093262</v>
      </c>
    </row>
    <row r="32" spans="1:19" x14ac:dyDescent="0.3">
      <c r="A32">
        <v>29</v>
      </c>
      <c r="H32">
        <v>15.110526315789473</v>
      </c>
      <c r="I32">
        <v>7.1579118980108749</v>
      </c>
      <c r="J32">
        <v>15.110526315789473</v>
      </c>
      <c r="K32">
        <v>9.2520212871572376</v>
      </c>
      <c r="L32">
        <v>15.110526315789473</v>
      </c>
      <c r="M32">
        <v>9.7830212826216112</v>
      </c>
      <c r="N32">
        <v>15.110526315789473</v>
      </c>
      <c r="O32">
        <v>10.124893144882103</v>
      </c>
      <c r="P32">
        <v>15.110526315789473</v>
      </c>
      <c r="Q32">
        <v>10.4349399436661</v>
      </c>
      <c r="R32">
        <v>15.110526315789473</v>
      </c>
      <c r="S32">
        <v>10.745882987976074</v>
      </c>
    </row>
    <row r="33" spans="1:19" x14ac:dyDescent="0.3">
      <c r="A33">
        <v>30</v>
      </c>
      <c r="H33">
        <v>15.631578947368421</v>
      </c>
      <c r="I33">
        <v>7.3943372843736981</v>
      </c>
      <c r="J33">
        <v>15.631578947368421</v>
      </c>
      <c r="K33">
        <v>9.3100127266310295</v>
      </c>
      <c r="L33">
        <v>15.631578947368421</v>
      </c>
      <c r="M33">
        <v>9.8228741724542203</v>
      </c>
      <c r="N33">
        <v>15.631578947368421</v>
      </c>
      <c r="O33">
        <v>10.171419597407155</v>
      </c>
      <c r="P33">
        <v>15.631578947368421</v>
      </c>
      <c r="Q33">
        <v>10.486970833985414</v>
      </c>
      <c r="R33">
        <v>15.631578947368421</v>
      </c>
      <c r="S33">
        <v>10.78397274017334</v>
      </c>
    </row>
    <row r="34" spans="1:19" x14ac:dyDescent="0.3">
      <c r="A34">
        <v>31</v>
      </c>
      <c r="H34">
        <v>16.152631578947368</v>
      </c>
      <c r="I34">
        <v>7.6131933464900321</v>
      </c>
      <c r="J34">
        <v>16.152631578947368</v>
      </c>
      <c r="K34">
        <v>9.3663721221166441</v>
      </c>
      <c r="L34">
        <v>16.152631578947368</v>
      </c>
      <c r="M34">
        <v>9.861724923202317</v>
      </c>
      <c r="N34">
        <v>16.152631578947368</v>
      </c>
      <c r="O34">
        <v>10.204619304728952</v>
      </c>
      <c r="P34">
        <v>16.152631578947368</v>
      </c>
      <c r="Q34">
        <v>10.52235960450054</v>
      </c>
      <c r="R34">
        <v>16.152631578947368</v>
      </c>
      <c r="S34">
        <v>10.820659637451172</v>
      </c>
    </row>
    <row r="35" spans="1:19" x14ac:dyDescent="0.3">
      <c r="A35">
        <v>32</v>
      </c>
      <c r="H35">
        <v>16.673684210526314</v>
      </c>
      <c r="I35">
        <v>7.7779113716315731</v>
      </c>
      <c r="J35">
        <v>16.673684210526314</v>
      </c>
      <c r="K35">
        <v>9.4099737444106921</v>
      </c>
      <c r="L35">
        <v>16.673684210526314</v>
      </c>
      <c r="M35">
        <v>9.8995796982570194</v>
      </c>
      <c r="N35">
        <v>16.673684210526314</v>
      </c>
      <c r="O35">
        <v>10.248923734308914</v>
      </c>
      <c r="P35">
        <v>16.673684210526314</v>
      </c>
      <c r="Q35">
        <v>10.556388843918388</v>
      </c>
      <c r="R35">
        <v>16.673684210526314</v>
      </c>
      <c r="S35">
        <v>10.855950355529785</v>
      </c>
    </row>
    <row r="36" spans="1:19" x14ac:dyDescent="0.3">
      <c r="A36">
        <v>33</v>
      </c>
      <c r="H36">
        <v>17.194736842105264</v>
      </c>
      <c r="I36">
        <v>7.9326628870190934</v>
      </c>
      <c r="J36">
        <v>17.194736842105264</v>
      </c>
      <c r="K36">
        <v>9.4636083047678898</v>
      </c>
      <c r="L36">
        <v>17.194736842105264</v>
      </c>
      <c r="M36">
        <v>9.9364506660182279</v>
      </c>
      <c r="N36">
        <v>17.194736842105264</v>
      </c>
      <c r="O36">
        <v>10.279587395006583</v>
      </c>
      <c r="P36">
        <v>17.194736842105264</v>
      </c>
      <c r="Q36">
        <v>10.589072062949114</v>
      </c>
      <c r="R36">
        <v>17.194736842105264</v>
      </c>
      <c r="S36">
        <v>10.889859199523926</v>
      </c>
    </row>
    <row r="37" spans="1:19" x14ac:dyDescent="0.3">
      <c r="A37">
        <v>34</v>
      </c>
      <c r="H37">
        <v>17.715789473684211</v>
      </c>
      <c r="I37">
        <v>8.0780280871950474</v>
      </c>
      <c r="J37">
        <v>17.715789473684211</v>
      </c>
      <c r="K37">
        <v>9.5049258191641215</v>
      </c>
      <c r="L37">
        <v>17.715789473684211</v>
      </c>
      <c r="M37">
        <v>9.9723429465873021</v>
      </c>
      <c r="N37">
        <v>17.715789473684211</v>
      </c>
      <c r="O37">
        <v>10.321695981056658</v>
      </c>
      <c r="P37">
        <v>17.715789473684211</v>
      </c>
      <c r="Q37">
        <v>10.620414193569591</v>
      </c>
      <c r="R37">
        <v>17.715789473684211</v>
      </c>
      <c r="S37">
        <v>10.922390937805176</v>
      </c>
    </row>
    <row r="38" spans="1:19" x14ac:dyDescent="0.3">
      <c r="A38">
        <v>35</v>
      </c>
      <c r="H38">
        <v>18.236842105263158</v>
      </c>
      <c r="I38">
        <v>8.2145677831817601</v>
      </c>
      <c r="J38">
        <v>18.236842105263158</v>
      </c>
      <c r="K38">
        <v>9.5561450152045957</v>
      </c>
      <c r="L38">
        <v>18.236842105263158</v>
      </c>
      <c r="M38">
        <v>10.007269245282451</v>
      </c>
      <c r="N38">
        <v>18.236842105263158</v>
      </c>
      <c r="O38">
        <v>10.34985580682754</v>
      </c>
      <c r="P38">
        <v>18.236842105263158</v>
      </c>
      <c r="Q38">
        <v>10.650428801441638</v>
      </c>
      <c r="R38">
        <v>18.236842105263158</v>
      </c>
      <c r="S38">
        <v>10.953557968139648</v>
      </c>
    </row>
    <row r="39" spans="1:19" x14ac:dyDescent="0.3">
      <c r="A39">
        <v>36</v>
      </c>
      <c r="H39">
        <v>18.757894736842104</v>
      </c>
      <c r="I39">
        <v>8.3428220212920259</v>
      </c>
      <c r="J39">
        <v>18.757894736842104</v>
      </c>
      <c r="K39">
        <v>9.595381552493194</v>
      </c>
      <c r="L39">
        <v>18.757894736842104</v>
      </c>
      <c r="M39">
        <v>10.041230468740537</v>
      </c>
      <c r="N39">
        <v>18.757894736842104</v>
      </c>
      <c r="O39">
        <v>10.376722231638997</v>
      </c>
      <c r="P39">
        <v>18.757894736842104</v>
      </c>
      <c r="Q39">
        <v>10.695120090320543</v>
      </c>
      <c r="R39">
        <v>18.757894736842104</v>
      </c>
      <c r="S39">
        <v>10.983365058898926</v>
      </c>
    </row>
    <row r="40" spans="1:19" x14ac:dyDescent="0.3">
      <c r="A40">
        <v>37</v>
      </c>
      <c r="H40">
        <v>19.278947368421054</v>
      </c>
      <c r="I40">
        <v>8.4633121493008332</v>
      </c>
      <c r="J40">
        <v>19.278947368421054</v>
      </c>
      <c r="K40">
        <v>9.6336545819088499</v>
      </c>
      <c r="L40">
        <v>19.278947368421054</v>
      </c>
      <c r="M40">
        <v>10.074236980009982</v>
      </c>
      <c r="N40">
        <v>19.278947368421054</v>
      </c>
      <c r="O40">
        <v>10.415472115128685</v>
      </c>
      <c r="P40">
        <v>19.278947368421054</v>
      </c>
      <c r="Q40">
        <v>10.722569053848499</v>
      </c>
      <c r="R40">
        <v>19.278947368421054</v>
      </c>
      <c r="S40">
        <v>11.011822700500488</v>
      </c>
    </row>
    <row r="41" spans="1:19" x14ac:dyDescent="0.3">
      <c r="A41">
        <v>38</v>
      </c>
      <c r="F41">
        <v>19.8</v>
      </c>
      <c r="G41">
        <v>2.2086586516059397</v>
      </c>
      <c r="H41">
        <v>19.8</v>
      </c>
      <c r="I41">
        <v>8.5500162134333522</v>
      </c>
      <c r="J41">
        <v>19.8</v>
      </c>
      <c r="K41">
        <v>9.6709951002955314</v>
      </c>
      <c r="L41">
        <v>19.8</v>
      </c>
      <c r="M41">
        <v>10.106293506950992</v>
      </c>
      <c r="N41">
        <v>19.8</v>
      </c>
      <c r="O41">
        <v>10.439875421520023</v>
      </c>
      <c r="P41">
        <v>19.8</v>
      </c>
      <c r="Q41">
        <v>10.748708465897419</v>
      </c>
      <c r="R41">
        <v>19.8</v>
      </c>
      <c r="S41">
        <v>11.038936614990234</v>
      </c>
    </row>
    <row r="42" spans="1:19" x14ac:dyDescent="0.3">
      <c r="A42">
        <v>39</v>
      </c>
      <c r="F42">
        <v>20.321052631578947</v>
      </c>
      <c r="G42">
        <v>3.2230111460319382</v>
      </c>
      <c r="H42">
        <v>20.321052631578947</v>
      </c>
      <c r="I42">
        <v>8.6325987874868844</v>
      </c>
      <c r="J42">
        <v>20.321052631578947</v>
      </c>
      <c r="K42">
        <v>9.7074308730882368</v>
      </c>
      <c r="L42">
        <v>20.321052631578947</v>
      </c>
      <c r="M42">
        <v>10.137405178784064</v>
      </c>
      <c r="N42">
        <v>20.321052631578947</v>
      </c>
      <c r="O42">
        <v>10.47648019956628</v>
      </c>
      <c r="P42">
        <v>20.321052631578947</v>
      </c>
      <c r="Q42">
        <v>10.773544908141563</v>
      </c>
      <c r="R42">
        <v>20.321052631578947</v>
      </c>
      <c r="S42">
        <v>11.064713478088379</v>
      </c>
    </row>
    <row r="43" spans="1:19" x14ac:dyDescent="0.3">
      <c r="A43">
        <v>40</v>
      </c>
      <c r="F43">
        <v>20.842105263157894</v>
      </c>
      <c r="G43">
        <v>3.9284539199647353</v>
      </c>
      <c r="H43">
        <v>20.842105263157894</v>
      </c>
      <c r="I43">
        <v>8.7356024784871895</v>
      </c>
      <c r="J43">
        <v>20.842105263157894</v>
      </c>
      <c r="K43">
        <v>9.7320772854478879</v>
      </c>
      <c r="L43">
        <v>20.842105263157894</v>
      </c>
      <c r="M43">
        <v>10.167576885102269</v>
      </c>
      <c r="N43">
        <v>20.842105263157894</v>
      </c>
      <c r="O43">
        <v>10.498441486884838</v>
      </c>
      <c r="P43">
        <v>20.842105263157894</v>
      </c>
      <c r="Q43">
        <v>10.797086168836897</v>
      </c>
      <c r="R43">
        <v>20.842105263157894</v>
      </c>
      <c r="S43">
        <v>11.08916187286377</v>
      </c>
    </row>
    <row r="44" spans="1:19" x14ac:dyDescent="0.3">
      <c r="A44">
        <v>41</v>
      </c>
      <c r="F44">
        <v>21.36315789473684</v>
      </c>
      <c r="G44">
        <v>4.4792763554541688</v>
      </c>
      <c r="H44">
        <v>21.36315789473684</v>
      </c>
      <c r="I44">
        <v>8.8095326549463699</v>
      </c>
      <c r="J44">
        <v>21.36315789473684</v>
      </c>
      <c r="K44">
        <v>9.7667543921271616</v>
      </c>
      <c r="L44">
        <v>21.36315789473684</v>
      </c>
      <c r="M44">
        <v>10.185524837298578</v>
      </c>
      <c r="N44">
        <v>21.36315789473684</v>
      </c>
      <c r="O44">
        <v>10.519144662903715</v>
      </c>
      <c r="P44">
        <v>21.36315789473684</v>
      </c>
      <c r="Q44">
        <v>10.819337142753547</v>
      </c>
      <c r="R44">
        <v>21.36315789473684</v>
      </c>
      <c r="S44">
        <v>11.112285614013672</v>
      </c>
    </row>
    <row r="45" spans="1:19" x14ac:dyDescent="0.3">
      <c r="A45">
        <v>42</v>
      </c>
      <c r="F45">
        <v>21.88421052631579</v>
      </c>
      <c r="G45">
        <v>4.9022313876237771</v>
      </c>
      <c r="H45">
        <v>21.88421052631579</v>
      </c>
      <c r="I45">
        <v>8.8799737380327173</v>
      </c>
      <c r="J45">
        <v>21.88421052631579</v>
      </c>
      <c r="K45">
        <v>9.7895598105100312</v>
      </c>
      <c r="L45">
        <v>21.88421052631579</v>
      </c>
      <c r="M45">
        <v>10.213652025016957</v>
      </c>
      <c r="N45">
        <v>21.88421052631579</v>
      </c>
      <c r="O45">
        <v>10.552452093517759</v>
      </c>
      <c r="P45">
        <v>21.88421052631579</v>
      </c>
      <c r="Q45">
        <v>10.840304783205713</v>
      </c>
      <c r="R45">
        <v>21.88421052631579</v>
      </c>
      <c r="S45">
        <v>11.134093284606934</v>
      </c>
    </row>
    <row r="46" spans="1:19" x14ac:dyDescent="0.3">
      <c r="A46">
        <v>43</v>
      </c>
      <c r="F46">
        <v>22.405263157894737</v>
      </c>
      <c r="G46">
        <v>5.2951873653583013</v>
      </c>
      <c r="H46">
        <v>22.405263157894737</v>
      </c>
      <c r="I46">
        <v>8.9255625351488348</v>
      </c>
      <c r="J46">
        <v>22.405263157894737</v>
      </c>
      <c r="K46">
        <v>9.8225374059592063</v>
      </c>
      <c r="L46">
        <v>22.405263157894737</v>
      </c>
      <c r="M46">
        <v>10.24084838820842</v>
      </c>
      <c r="N46">
        <v>22.405263157894737</v>
      </c>
      <c r="O46">
        <v>10.570739942103627</v>
      </c>
      <c r="P46">
        <v>22.405263157894737</v>
      </c>
      <c r="Q46">
        <v>10.876614588988915</v>
      </c>
      <c r="R46">
        <v>22.405263157894737</v>
      </c>
      <c r="S46">
        <v>11.154584884643555</v>
      </c>
    </row>
    <row r="47" spans="1:19" x14ac:dyDescent="0.3">
      <c r="A47">
        <v>44</v>
      </c>
      <c r="F47">
        <v>22.926315789473684</v>
      </c>
      <c r="G47">
        <v>5.6599494957852325</v>
      </c>
      <c r="H47">
        <v>22.926315789473684</v>
      </c>
      <c r="I47">
        <v>8.9903693735974741</v>
      </c>
      <c r="J47">
        <v>22.926315789473684</v>
      </c>
      <c r="K47">
        <v>9.8435370381826157</v>
      </c>
      <c r="L47">
        <v>22.926315789473684</v>
      </c>
      <c r="M47">
        <v>10.267117667522617</v>
      </c>
      <c r="N47">
        <v>22.926315789473684</v>
      </c>
      <c r="O47">
        <v>10.58778481920135</v>
      </c>
      <c r="P47">
        <v>22.926315789473684</v>
      </c>
      <c r="Q47">
        <v>10.895086430128401</v>
      </c>
      <c r="R47">
        <v>22.926315789473684</v>
      </c>
      <c r="S47">
        <v>11.173769950866699</v>
      </c>
    </row>
    <row r="48" spans="1:19" x14ac:dyDescent="0.3">
      <c r="A48">
        <v>45</v>
      </c>
      <c r="F48">
        <v>23.44736842105263</v>
      </c>
      <c r="G48">
        <v>5.9308875415578388</v>
      </c>
      <c r="H48">
        <v>23.44736842105263</v>
      </c>
      <c r="I48">
        <v>9.0521445107989713</v>
      </c>
      <c r="J48">
        <v>23.44736842105263</v>
      </c>
      <c r="K48">
        <v>9.8748686151740621</v>
      </c>
      <c r="L48">
        <v>23.44736842105263</v>
      </c>
      <c r="M48">
        <v>10.280539962674609</v>
      </c>
      <c r="N48">
        <v>23.44736842105263</v>
      </c>
      <c r="O48">
        <v>10.617815846483143</v>
      </c>
      <c r="P48">
        <v>23.44736842105263</v>
      </c>
      <c r="Q48">
        <v>10.912287345623881</v>
      </c>
      <c r="R48">
        <v>23.44736842105263</v>
      </c>
      <c r="S48">
        <v>11.191653251647949</v>
      </c>
    </row>
    <row r="49" spans="1:19" x14ac:dyDescent="0.3">
      <c r="A49">
        <v>46</v>
      </c>
      <c r="F49">
        <v>23.96842105263158</v>
      </c>
      <c r="G49">
        <v>6.1855092165447303</v>
      </c>
      <c r="H49">
        <v>23.96842105263158</v>
      </c>
      <c r="I49">
        <v>9.091518675338687</v>
      </c>
      <c r="J49">
        <v>23.96842105263158</v>
      </c>
      <c r="K49">
        <v>9.8940907762241324</v>
      </c>
      <c r="L49">
        <v>23.96842105263158</v>
      </c>
      <c r="M49">
        <v>10.304784252983916</v>
      </c>
      <c r="N49">
        <v>23.96842105263158</v>
      </c>
      <c r="O49">
        <v>10.632464843669275</v>
      </c>
      <c r="P49">
        <v>23.96842105263158</v>
      </c>
      <c r="Q49">
        <v>10.92821700645143</v>
      </c>
      <c r="R49">
        <v>23.96842105263158</v>
      </c>
      <c r="S49">
        <v>11.208232879638672</v>
      </c>
    </row>
    <row r="50" spans="1:19" x14ac:dyDescent="0.3">
      <c r="A50">
        <v>47</v>
      </c>
      <c r="F50">
        <v>24.489473684210527</v>
      </c>
      <c r="G50">
        <v>6.3637587347618876</v>
      </c>
      <c r="H50">
        <v>24.489473684210527</v>
      </c>
      <c r="I50">
        <v>9.1483836811597392</v>
      </c>
      <c r="J50">
        <v>24.489473684210527</v>
      </c>
      <c r="K50">
        <v>9.9123825037862723</v>
      </c>
      <c r="L50">
        <v>24.489473684210527</v>
      </c>
      <c r="M50">
        <v>10.315907765909007</v>
      </c>
      <c r="N50">
        <v>24.489473684210527</v>
      </c>
      <c r="O50">
        <v>10.645881564374768</v>
      </c>
      <c r="P50">
        <v>24.489473684210527</v>
      </c>
      <c r="Q50">
        <v>10.942882474962396</v>
      </c>
      <c r="R50">
        <v>24.489473684210527</v>
      </c>
      <c r="S50">
        <v>11.223516464233398</v>
      </c>
    </row>
    <row r="51" spans="1:19" x14ac:dyDescent="0.3">
      <c r="A51">
        <v>48</v>
      </c>
      <c r="F51">
        <v>25.010526315789473</v>
      </c>
      <c r="G51">
        <v>6.5916434916495952</v>
      </c>
      <c r="H51">
        <v>25.010526315789473</v>
      </c>
      <c r="I51">
        <v>9.1841495544648204</v>
      </c>
      <c r="J51">
        <v>25.010526315789473</v>
      </c>
      <c r="K51">
        <v>9.9297470323362944</v>
      </c>
      <c r="L51">
        <v>25.010526315789473</v>
      </c>
      <c r="M51">
        <v>10.338133543912067</v>
      </c>
      <c r="N51">
        <v>25.010526315789473</v>
      </c>
      <c r="O51">
        <v>10.658067419925908</v>
      </c>
      <c r="P51">
        <v>25.010526315789473</v>
      </c>
      <c r="Q51">
        <v>10.956284985500568</v>
      </c>
      <c r="R51">
        <v>25.010526315789473</v>
      </c>
      <c r="S51">
        <v>11.237504959106445</v>
      </c>
    </row>
    <row r="52" spans="1:19" x14ac:dyDescent="0.3">
      <c r="A52">
        <v>49</v>
      </c>
      <c r="F52">
        <v>25.53157894736842</v>
      </c>
      <c r="G52">
        <v>6.7504185749229029</v>
      </c>
      <c r="H52">
        <v>25.53157894736842</v>
      </c>
      <c r="I52">
        <v>9.2183902140237972</v>
      </c>
      <c r="J52">
        <v>25.53157894736842</v>
      </c>
      <c r="K52">
        <v>9.9578317118767075</v>
      </c>
      <c r="L52">
        <v>25.53157894736842</v>
      </c>
      <c r="M52">
        <v>10.359433315749788</v>
      </c>
      <c r="N52">
        <v>25.53157894736842</v>
      </c>
      <c r="O52">
        <v>10.683673874519124</v>
      </c>
      <c r="P52">
        <v>25.53157894736842</v>
      </c>
      <c r="Q52">
        <v>10.968428009929017</v>
      </c>
      <c r="R52">
        <v>25.53157894736842</v>
      </c>
      <c r="S52">
        <v>11.250203132629395</v>
      </c>
    </row>
    <row r="53" spans="1:19" x14ac:dyDescent="0.3">
      <c r="A53">
        <v>50</v>
      </c>
      <c r="F53">
        <v>26.05263157894737</v>
      </c>
      <c r="G53">
        <v>6.901289065087111</v>
      </c>
      <c r="H53">
        <v>26.05263157894737</v>
      </c>
      <c r="I53">
        <v>9.2511446926986203</v>
      </c>
      <c r="J53">
        <v>26.05263157894737</v>
      </c>
      <c r="K53">
        <v>9.973452999248174</v>
      </c>
      <c r="L53">
        <v>26.05263157894737</v>
      </c>
      <c r="M53">
        <v>10.367174641678655</v>
      </c>
      <c r="N53">
        <v>26.05263157894737</v>
      </c>
      <c r="O53">
        <v>10.693480432374299</v>
      </c>
      <c r="P53">
        <v>26.05263157894737</v>
      </c>
      <c r="Q53">
        <v>10.979314345735737</v>
      </c>
      <c r="R53">
        <v>26.05263157894737</v>
      </c>
      <c r="S53">
        <v>11.261612892150879</v>
      </c>
    </row>
    <row r="54" spans="1:19" x14ac:dyDescent="0.3">
      <c r="A54">
        <v>51</v>
      </c>
      <c r="F54">
        <v>26.573684210526316</v>
      </c>
      <c r="G54">
        <v>7.0950168473468587</v>
      </c>
      <c r="H54">
        <v>26.573684210526316</v>
      </c>
      <c r="I54">
        <v>9.2824554551934497</v>
      </c>
      <c r="J54">
        <v>26.573684210526316</v>
      </c>
      <c r="K54">
        <v>9.9881567765105217</v>
      </c>
      <c r="L54">
        <v>26.573684210526316</v>
      </c>
      <c r="M54">
        <v>10.386456906058754</v>
      </c>
      <c r="N54">
        <v>26.573684210526316</v>
      </c>
      <c r="O54">
        <v>10.702063774972792</v>
      </c>
      <c r="P54">
        <v>26.573684210526316</v>
      </c>
      <c r="Q54">
        <v>10.988945160964379</v>
      </c>
      <c r="R54">
        <v>26.573684210526316</v>
      </c>
      <c r="S54">
        <v>11.271734237670898</v>
      </c>
    </row>
    <row r="55" spans="1:19" x14ac:dyDescent="0.3">
      <c r="A55">
        <v>52</v>
      </c>
      <c r="F55">
        <v>27.094736842105263</v>
      </c>
      <c r="G55">
        <v>7.2288792784495568</v>
      </c>
      <c r="H55">
        <v>27.094736842105263</v>
      </c>
      <c r="I55">
        <v>9.3123568406660056</v>
      </c>
      <c r="J55">
        <v>27.094736842105263</v>
      </c>
      <c r="K55">
        <v>10.001939748400988</v>
      </c>
      <c r="L55">
        <v>27.094736842105263</v>
      </c>
      <c r="M55">
        <v>10.391915542382719</v>
      </c>
      <c r="N55">
        <v>27.094736842105263</v>
      </c>
      <c r="O55">
        <v>10.709423474216708</v>
      </c>
      <c r="P55">
        <v>27.094736842105263</v>
      </c>
      <c r="Q55">
        <v>11.014545447628109</v>
      </c>
      <c r="R55">
        <v>27.094736842105263</v>
      </c>
      <c r="S55">
        <v>11.280570983886719</v>
      </c>
    </row>
    <row r="56" spans="1:19" x14ac:dyDescent="0.3">
      <c r="A56">
        <v>53</v>
      </c>
      <c r="F56">
        <v>27.61578947368421</v>
      </c>
      <c r="G56">
        <v>7.3095717026693805</v>
      </c>
      <c r="H56">
        <v>27.61578947368421</v>
      </c>
      <c r="I56">
        <v>9.3408856391912281</v>
      </c>
      <c r="J56">
        <v>27.61578947368421</v>
      </c>
      <c r="K56">
        <v>10.014804844868525</v>
      </c>
      <c r="L56">
        <v>27.61578947368421</v>
      </c>
      <c r="M56">
        <v>10.396187906997188</v>
      </c>
      <c r="N56">
        <v>27.61578947368421</v>
      </c>
      <c r="O56">
        <v>10.730602254384703</v>
      </c>
      <c r="P56">
        <v>27.61578947368421</v>
      </c>
      <c r="Q56">
        <v>11.021711692586607</v>
      </c>
      <c r="R56">
        <v>27.61578947368421</v>
      </c>
      <c r="S56">
        <v>11.288125038146973</v>
      </c>
    </row>
    <row r="57" spans="1:19" x14ac:dyDescent="0.3">
      <c r="A57">
        <v>54</v>
      </c>
      <c r="F57">
        <v>28.13684210526316</v>
      </c>
      <c r="G57">
        <v>7.4318734659152152</v>
      </c>
      <c r="H57">
        <v>28.13684210526316</v>
      </c>
      <c r="I57">
        <v>9.3680780233699146</v>
      </c>
      <c r="J57">
        <v>28.13684210526316</v>
      </c>
      <c r="K57">
        <v>10.01458067815777</v>
      </c>
      <c r="L57">
        <v>28.13684210526316</v>
      </c>
      <c r="M57">
        <v>10.412353396947832</v>
      </c>
      <c r="N57">
        <v>28.13684210526316</v>
      </c>
      <c r="O57">
        <v>10.735587655603709</v>
      </c>
      <c r="P57">
        <v>28.13684210526316</v>
      </c>
      <c r="Q57">
        <v>11.027622976449447</v>
      </c>
      <c r="R57">
        <v>28.13684210526316</v>
      </c>
      <c r="S57">
        <v>11.294392585754395</v>
      </c>
    </row>
    <row r="58" spans="1:19" x14ac:dyDescent="0.3">
      <c r="A58">
        <v>55</v>
      </c>
      <c r="F58">
        <v>28.657894736842106</v>
      </c>
      <c r="G58">
        <v>7.5477509423916853</v>
      </c>
      <c r="H58">
        <v>28.657894736842106</v>
      </c>
      <c r="I58">
        <v>9.3939659990595175</v>
      </c>
      <c r="J58">
        <v>28.657894736842106</v>
      </c>
      <c r="K58">
        <v>10.025503236251364</v>
      </c>
      <c r="L58">
        <v>28.657894736842106</v>
      </c>
      <c r="M58">
        <v>10.414348001424386</v>
      </c>
      <c r="N58">
        <v>28.657894736842106</v>
      </c>
      <c r="O58">
        <v>10.739353672235904</v>
      </c>
      <c r="P58">
        <v>28.657894736842106</v>
      </c>
      <c r="Q58">
        <v>11.032283931866031</v>
      </c>
      <c r="R58">
        <v>28.657894736842106</v>
      </c>
      <c r="S58">
        <v>11.299381256103516</v>
      </c>
    </row>
    <row r="59" spans="1:19" x14ac:dyDescent="0.3">
      <c r="A59">
        <v>56</v>
      </c>
      <c r="F59">
        <v>29.178947368421053</v>
      </c>
      <c r="G59">
        <v>7.616162703633691</v>
      </c>
      <c r="H59">
        <v>29.178947368421053</v>
      </c>
      <c r="I59">
        <v>9.4022080191190156</v>
      </c>
      <c r="J59">
        <v>29.178947368421053</v>
      </c>
      <c r="K59">
        <v>10.035506344692859</v>
      </c>
      <c r="L59">
        <v>29.178947368421053</v>
      </c>
      <c r="M59">
        <v>10.428480982561634</v>
      </c>
      <c r="N59">
        <v>29.178947368421053</v>
      </c>
      <c r="O59">
        <v>10.741899290600104</v>
      </c>
      <c r="P59">
        <v>29.178947368421053</v>
      </c>
      <c r="Q59">
        <v>11.035691024799288</v>
      </c>
      <c r="R59">
        <v>29.178947368421053</v>
      </c>
      <c r="S59">
        <v>11.303085327148438</v>
      </c>
    </row>
    <row r="60" spans="1:19" x14ac:dyDescent="0.3">
      <c r="A60">
        <v>57</v>
      </c>
      <c r="F60">
        <v>29.7</v>
      </c>
      <c r="G60">
        <v>7.7217000658569424</v>
      </c>
      <c r="H60">
        <v>29.7</v>
      </c>
      <c r="I60">
        <v>9.4257965032347641</v>
      </c>
      <c r="J60">
        <v>29.7</v>
      </c>
      <c r="K60">
        <v>10.044589702831139</v>
      </c>
      <c r="L60">
        <v>29.7</v>
      </c>
      <c r="M60">
        <v>10.428196598822424</v>
      </c>
      <c r="N60">
        <v>29.7</v>
      </c>
      <c r="O60">
        <v>10.743227936307894</v>
      </c>
      <c r="P60">
        <v>29.7</v>
      </c>
      <c r="Q60">
        <v>11.037848028279893</v>
      </c>
      <c r="R60">
        <v>29.7</v>
      </c>
      <c r="S60">
        <v>11.305508613586426</v>
      </c>
    </row>
    <row r="61" spans="1:19" x14ac:dyDescent="0.3">
      <c r="A61">
        <v>58</v>
      </c>
      <c r="F61">
        <v>30.221052631578946</v>
      </c>
      <c r="G61">
        <v>7.7829816692691534</v>
      </c>
      <c r="H61">
        <v>30.221052631578946</v>
      </c>
      <c r="I61">
        <v>9.4320326361019848</v>
      </c>
      <c r="J61">
        <v>30.221052631578946</v>
      </c>
      <c r="K61">
        <v>10.052750283888486</v>
      </c>
      <c r="L61">
        <v>30.221052631578946</v>
      </c>
      <c r="M61">
        <v>10.440287203108312</v>
      </c>
      <c r="N61">
        <v>30.221052631578946</v>
      </c>
      <c r="O61">
        <v>10.758787240061315</v>
      </c>
      <c r="P61">
        <v>30.221052631578946</v>
      </c>
      <c r="Q61">
        <v>11.038751612731264</v>
      </c>
      <c r="R61">
        <v>30.221052631578946</v>
      </c>
      <c r="S61">
        <v>11.306648254394531</v>
      </c>
    </row>
    <row r="62" spans="1:19" x14ac:dyDescent="0.3">
      <c r="A62">
        <v>59</v>
      </c>
      <c r="F62">
        <v>30.742105263157896</v>
      </c>
      <c r="G62">
        <v>7.8788904752222066</v>
      </c>
      <c r="H62">
        <v>30.742105263157896</v>
      </c>
      <c r="I62">
        <v>9.4533823032647817</v>
      </c>
      <c r="J62">
        <v>30.742105263157896</v>
      </c>
      <c r="K62">
        <v>10.047277820563231</v>
      </c>
      <c r="L62">
        <v>30.742105263157896</v>
      </c>
      <c r="M62">
        <v>10.437718332797107</v>
      </c>
      <c r="N62">
        <v>30.742105263157896</v>
      </c>
      <c r="O62">
        <v>10.75773256135523</v>
      </c>
      <c r="P62">
        <v>30.742105263157896</v>
      </c>
      <c r="Q62">
        <v>11.038403988912696</v>
      </c>
      <c r="R62">
        <v>30.742105263157896</v>
      </c>
      <c r="S62">
        <v>11.306507110595703</v>
      </c>
    </row>
    <row r="63" spans="1:19" x14ac:dyDescent="0.3">
      <c r="A63">
        <v>60</v>
      </c>
      <c r="F63">
        <v>31.263157894736842</v>
      </c>
      <c r="G63">
        <v>7.93350418744377</v>
      </c>
      <c r="H63">
        <v>31.263157894736842</v>
      </c>
      <c r="I63">
        <v>9.4576382263736853</v>
      </c>
      <c r="J63">
        <v>31.263157894736842</v>
      </c>
      <c r="K63">
        <v>10.053483623987731</v>
      </c>
      <c r="L63">
        <v>31.263157894736842</v>
      </c>
      <c r="M63">
        <v>10.433966541817178</v>
      </c>
      <c r="N63">
        <v>31.263157894736842</v>
      </c>
      <c r="O63">
        <v>10.755458500265373</v>
      </c>
      <c r="P63">
        <v>31.263157894736842</v>
      </c>
      <c r="Q63">
        <v>11.036805296526667</v>
      </c>
      <c r="R63">
        <v>31.263157894736842</v>
      </c>
      <c r="S63">
        <v>11.305084228515625</v>
      </c>
    </row>
    <row r="64" spans="1:19" x14ac:dyDescent="0.3">
      <c r="A64">
        <v>61</v>
      </c>
      <c r="F64">
        <v>31.784210526315789</v>
      </c>
      <c r="G64">
        <v>7.9854224450027349</v>
      </c>
      <c r="H64">
        <v>31.784210526315789</v>
      </c>
      <c r="I64">
        <v>9.4768036530353008</v>
      </c>
      <c r="J64">
        <v>31.784210526315789</v>
      </c>
      <c r="K64">
        <v>10.058761007038576</v>
      </c>
      <c r="L64">
        <v>31.784210526315789</v>
      </c>
      <c r="M64">
        <v>10.442896979957391</v>
      </c>
      <c r="N64">
        <v>31.784210526315789</v>
      </c>
      <c r="O64">
        <v>10.751964094443014</v>
      </c>
      <c r="P64">
        <v>31.784210526315789</v>
      </c>
      <c r="Q64">
        <v>11.033953515600928</v>
      </c>
      <c r="R64">
        <v>31.784210526315789</v>
      </c>
      <c r="S64">
        <v>11.302377700805664</v>
      </c>
    </row>
    <row r="65" spans="1:19" x14ac:dyDescent="0.3">
      <c r="A65">
        <v>62</v>
      </c>
      <c r="F65">
        <v>32.305263157894736</v>
      </c>
      <c r="G65">
        <v>8.0347097365374722</v>
      </c>
      <c r="H65">
        <v>32.305263157894736</v>
      </c>
      <c r="I65">
        <v>9.4790969820334023</v>
      </c>
      <c r="J65">
        <v>32.305263157894736</v>
      </c>
      <c r="K65">
        <v>10.05008373304274</v>
      </c>
      <c r="L65">
        <v>32.305263157894736</v>
      </c>
      <c r="M65">
        <v>10.436854178451433</v>
      </c>
      <c r="N65">
        <v>32.305263157894736</v>
      </c>
      <c r="O65">
        <v>10.747247553443763</v>
      </c>
      <c r="P65">
        <v>32.305263157894736</v>
      </c>
      <c r="Q65">
        <v>11.029847236492767</v>
      </c>
      <c r="R65">
        <v>32.305263157894736</v>
      </c>
      <c r="S65">
        <v>11.298385620117188</v>
      </c>
    </row>
    <row r="66" spans="1:19" x14ac:dyDescent="0.3">
      <c r="A66">
        <v>63</v>
      </c>
      <c r="F66">
        <v>32.826315789473682</v>
      </c>
      <c r="G66">
        <v>8.0814357644870647</v>
      </c>
      <c r="H66">
        <v>32.826315789473682</v>
      </c>
      <c r="I66">
        <v>9.4804266417715475</v>
      </c>
      <c r="J66">
        <v>32.826315789473682</v>
      </c>
      <c r="K66">
        <v>10.05339211133753</v>
      </c>
      <c r="L66">
        <v>32.826315789473682</v>
      </c>
      <c r="M66">
        <v>10.429627260726086</v>
      </c>
      <c r="N66">
        <v>32.826315789473682</v>
      </c>
      <c r="O66">
        <v>10.741310217591549</v>
      </c>
      <c r="P66">
        <v>32.826315789473682</v>
      </c>
      <c r="Q66">
        <v>11.02448709598794</v>
      </c>
      <c r="R66">
        <v>32.826315789473682</v>
      </c>
      <c r="S66">
        <v>11.293108940124512</v>
      </c>
    </row>
    <row r="67" spans="1:19" x14ac:dyDescent="0.3">
      <c r="A67">
        <v>64</v>
      </c>
      <c r="D67">
        <v>33.347368421052629</v>
      </c>
      <c r="E67">
        <v>1.6969042726141892</v>
      </c>
      <c r="F67">
        <v>33.347368421052629</v>
      </c>
      <c r="G67">
        <v>8.1256614064164125</v>
      </c>
      <c r="H67">
        <v>33.347368421052629</v>
      </c>
      <c r="I67">
        <v>9.480790594924331</v>
      </c>
      <c r="J67">
        <v>33.347368421052629</v>
      </c>
      <c r="K67">
        <v>10.055761200881035</v>
      </c>
      <c r="L67">
        <v>33.347368421052629</v>
      </c>
      <c r="M67">
        <v>10.435367169191364</v>
      </c>
      <c r="N67">
        <v>33.347368421052629</v>
      </c>
      <c r="O67">
        <v>10.750002002757913</v>
      </c>
      <c r="P67">
        <v>33.347368421052629</v>
      </c>
      <c r="Q67">
        <v>11.017871648113104</v>
      </c>
      <c r="R67">
        <v>33.347368421052629</v>
      </c>
      <c r="S67">
        <v>11.28654670715332</v>
      </c>
    </row>
    <row r="68" spans="1:19" x14ac:dyDescent="0.3">
      <c r="A68">
        <v>65</v>
      </c>
      <c r="D68">
        <v>33.868421052631582</v>
      </c>
      <c r="E68">
        <v>2.3573785343243179</v>
      </c>
      <c r="F68">
        <v>33.868421052631582</v>
      </c>
      <c r="G68">
        <v>8.1674475269122944</v>
      </c>
      <c r="H68">
        <v>33.868421052631582</v>
      </c>
      <c r="I68">
        <v>9.4801883908472178</v>
      </c>
      <c r="J68">
        <v>33.868421052631582</v>
      </c>
      <c r="K68">
        <v>10.043866696901981</v>
      </c>
      <c r="L68">
        <v>33.868421052631582</v>
      </c>
      <c r="M68">
        <v>10.425838802434193</v>
      </c>
      <c r="N68">
        <v>33.868421052631582</v>
      </c>
      <c r="O68">
        <v>10.741661409292515</v>
      </c>
      <c r="P68">
        <v>33.868421052631582</v>
      </c>
      <c r="Q68">
        <v>11.009999263673985</v>
      </c>
      <c r="R68">
        <v>33.868421052631582</v>
      </c>
      <c r="S68">
        <v>11.278696060180664</v>
      </c>
    </row>
    <row r="69" spans="1:19" x14ac:dyDescent="0.3">
      <c r="A69">
        <v>66</v>
      </c>
      <c r="D69">
        <v>34.389473684210529</v>
      </c>
      <c r="E69">
        <v>2.8653286602503245</v>
      </c>
      <c r="F69">
        <v>34.389473684210529</v>
      </c>
      <c r="G69">
        <v>8.2068555125542133</v>
      </c>
      <c r="H69">
        <v>34.389473684210529</v>
      </c>
      <c r="I69">
        <v>9.4786210845693741</v>
      </c>
      <c r="J69">
        <v>34.389473684210529</v>
      </c>
      <c r="K69">
        <v>10.044247788483398</v>
      </c>
      <c r="L69">
        <v>34.389473684210529</v>
      </c>
      <c r="M69">
        <v>10.415122610203234</v>
      </c>
      <c r="N69">
        <v>34.389473684210529</v>
      </c>
      <c r="O69">
        <v>10.732094422298408</v>
      </c>
      <c r="P69">
        <v>34.389473684210529</v>
      </c>
      <c r="Q69">
        <v>11.018592221875899</v>
      </c>
      <c r="R69">
        <v>34.389473684210529</v>
      </c>
      <c r="S69">
        <v>11.269556999206543</v>
      </c>
    </row>
    <row r="70" spans="1:19" x14ac:dyDescent="0.3">
      <c r="A70">
        <v>67</v>
      </c>
      <c r="D70">
        <v>34.910526315789475</v>
      </c>
      <c r="E70">
        <v>3.2431874719561273</v>
      </c>
      <c r="F70">
        <v>34.910526315789475</v>
      </c>
      <c r="G70">
        <v>8.243942126295611</v>
      </c>
      <c r="H70">
        <v>34.910526315789475</v>
      </c>
      <c r="I70">
        <v>9.476087204446376</v>
      </c>
      <c r="J70">
        <v>34.910526315789475</v>
      </c>
      <c r="K70">
        <v>10.030166621089291</v>
      </c>
      <c r="L70">
        <v>34.910526315789475</v>
      </c>
      <c r="M70">
        <v>10.403218007170915</v>
      </c>
      <c r="N70">
        <v>34.910526315789475</v>
      </c>
      <c r="O70">
        <v>10.721300920689043</v>
      </c>
      <c r="P70">
        <v>34.910526315789475</v>
      </c>
      <c r="Q70">
        <v>11.008214286137434</v>
      </c>
      <c r="R70">
        <v>34.910526315789475</v>
      </c>
      <c r="S70">
        <v>11.259128570556641</v>
      </c>
    </row>
    <row r="71" spans="1:19" x14ac:dyDescent="0.3">
      <c r="A71">
        <v>68</v>
      </c>
      <c r="D71">
        <v>35.431578947368422</v>
      </c>
      <c r="E71">
        <v>3.5989371866405273</v>
      </c>
      <c r="F71">
        <v>35.431578947368422</v>
      </c>
      <c r="G71">
        <v>8.249053771207528</v>
      </c>
      <c r="H71">
        <v>35.431578947368422</v>
      </c>
      <c r="I71">
        <v>9.47258617339876</v>
      </c>
      <c r="J71">
        <v>35.431578947368422</v>
      </c>
      <c r="K71">
        <v>10.028544778427321</v>
      </c>
      <c r="L71">
        <v>35.431578947368422</v>
      </c>
      <c r="M71">
        <v>10.404606009012699</v>
      </c>
      <c r="N71">
        <v>35.431578947368422</v>
      </c>
      <c r="O71">
        <v>10.709277075846991</v>
      </c>
      <c r="P71">
        <v>35.431578947368422</v>
      </c>
      <c r="Q71">
        <v>10.996571652856412</v>
      </c>
      <c r="R71">
        <v>35.431578947368422</v>
      </c>
      <c r="S71">
        <v>11.247406005859375</v>
      </c>
    </row>
    <row r="72" spans="1:19" x14ac:dyDescent="0.3">
      <c r="A72">
        <v>69</v>
      </c>
      <c r="D72">
        <v>35.952631578947368</v>
      </c>
      <c r="E72">
        <v>3.8471005334345643</v>
      </c>
      <c r="F72">
        <v>35.952631578947368</v>
      </c>
      <c r="G72">
        <v>8.2823775781673206</v>
      </c>
      <c r="H72">
        <v>35.952631578947368</v>
      </c>
      <c r="I72">
        <v>9.4681173539109977</v>
      </c>
      <c r="J72">
        <v>35.952631578947368</v>
      </c>
      <c r="K72">
        <v>10.012268980180751</v>
      </c>
      <c r="L72">
        <v>35.952631578947368</v>
      </c>
      <c r="M72">
        <v>10.390382298854812</v>
      </c>
      <c r="N72">
        <v>35.952631578947368</v>
      </c>
      <c r="O72">
        <v>10.696022529504166</v>
      </c>
      <c r="P72">
        <v>35.952631578947368</v>
      </c>
      <c r="Q72">
        <v>10.983663448990189</v>
      </c>
      <c r="R72">
        <v>35.952631578947368</v>
      </c>
      <c r="S72">
        <v>11.23438835144043</v>
      </c>
    </row>
    <row r="73" spans="1:19" x14ac:dyDescent="0.3">
      <c r="A73">
        <v>70</v>
      </c>
      <c r="D73">
        <v>36.473684210526315</v>
      </c>
      <c r="E73">
        <v>4.0831808409430659</v>
      </c>
      <c r="F73">
        <v>36.473684210526315</v>
      </c>
      <c r="G73">
        <v>8.3135149966248711</v>
      </c>
      <c r="H73">
        <v>36.473684210526315</v>
      </c>
      <c r="I73">
        <v>9.4626779108896777</v>
      </c>
      <c r="J73">
        <v>36.473684210526315</v>
      </c>
      <c r="K73">
        <v>10.008628927029127</v>
      </c>
      <c r="L73">
        <v>36.473684210526315</v>
      </c>
      <c r="M73">
        <v>10.374965335221786</v>
      </c>
      <c r="N73">
        <v>36.473684210526315</v>
      </c>
      <c r="O73">
        <v>10.681536163908437</v>
      </c>
      <c r="P73">
        <v>36.473684210526315</v>
      </c>
      <c r="Q73">
        <v>10.969488559616508</v>
      </c>
      <c r="R73">
        <v>36.473684210526315</v>
      </c>
      <c r="S73">
        <v>11.220074653625488</v>
      </c>
    </row>
    <row r="74" spans="1:19" x14ac:dyDescent="0.3">
      <c r="A74">
        <v>71</v>
      </c>
      <c r="D74">
        <v>36.994736842105262</v>
      </c>
      <c r="E74">
        <v>4.3076271853373802</v>
      </c>
      <c r="F74">
        <v>36.994736842105262</v>
      </c>
      <c r="G74">
        <v>8.3145010153281298</v>
      </c>
      <c r="H74">
        <v>36.994736842105262</v>
      </c>
      <c r="I74">
        <v>9.4562657790440223</v>
      </c>
      <c r="J74">
        <v>36.994736842105262</v>
      </c>
      <c r="K74">
        <v>9.9901484061019463</v>
      </c>
      <c r="L74">
        <v>36.994736842105262</v>
      </c>
      <c r="M74">
        <v>10.358352059927192</v>
      </c>
      <c r="N74">
        <v>36.994736842105262</v>
      </c>
      <c r="O74">
        <v>10.665815051188446</v>
      </c>
      <c r="P74">
        <v>36.994736842105262</v>
      </c>
      <c r="Q74">
        <v>10.954043832881318</v>
      </c>
      <c r="R74">
        <v>36.994736842105262</v>
      </c>
      <c r="S74">
        <v>11.204462051391602</v>
      </c>
    </row>
    <row r="75" spans="1:19" x14ac:dyDescent="0.3">
      <c r="A75">
        <v>72</v>
      </c>
      <c r="D75">
        <v>37.515789473684208</v>
      </c>
      <c r="E75">
        <v>4.4433523825258145</v>
      </c>
      <c r="F75">
        <v>37.515789473684208</v>
      </c>
      <c r="G75">
        <v>8.3420639733914435</v>
      </c>
      <c r="H75">
        <v>37.515789473684208</v>
      </c>
      <c r="I75">
        <v>9.4488797219487424</v>
      </c>
      <c r="J75">
        <v>37.515789473684208</v>
      </c>
      <c r="K75">
        <v>9.9844713112202577</v>
      </c>
      <c r="L75">
        <v>37.515789473684208</v>
      </c>
      <c r="M75">
        <v>10.35531870221439</v>
      </c>
      <c r="N75">
        <v>37.515789473684208</v>
      </c>
      <c r="O75">
        <v>10.665083757747572</v>
      </c>
      <c r="P75">
        <v>37.515789473684208</v>
      </c>
      <c r="Q75">
        <v>10.937327815589494</v>
      </c>
      <c r="R75">
        <v>37.515789473684208</v>
      </c>
      <c r="S75">
        <v>11.187548637390137</v>
      </c>
    </row>
    <row r="76" spans="1:19" x14ac:dyDescent="0.3">
      <c r="A76">
        <v>73</v>
      </c>
      <c r="D76">
        <v>38.036842105263155</v>
      </c>
      <c r="E76">
        <v>4.648924587784494</v>
      </c>
      <c r="F76">
        <v>38.036842105263155</v>
      </c>
      <c r="G76">
        <v>8.3404705603670024</v>
      </c>
      <c r="H76">
        <v>38.036842105263155</v>
      </c>
      <c r="I76">
        <v>9.4405166324731802</v>
      </c>
      <c r="J76">
        <v>38.036842105263155</v>
      </c>
      <c r="K76">
        <v>9.9637771333527887</v>
      </c>
      <c r="L76">
        <v>38.036842105263155</v>
      </c>
      <c r="M76">
        <v>10.336365359587614</v>
      </c>
      <c r="N76">
        <v>38.036842105263155</v>
      </c>
      <c r="O76">
        <v>10.646915237451097</v>
      </c>
      <c r="P76">
        <v>38.036842105263155</v>
      </c>
      <c r="Q76">
        <v>10.919339684718013</v>
      </c>
      <c r="R76">
        <v>38.036842105263155</v>
      </c>
      <c r="S76">
        <v>11.169333457946777</v>
      </c>
    </row>
    <row r="77" spans="1:19" x14ac:dyDescent="0.3">
      <c r="A77">
        <v>74</v>
      </c>
      <c r="D77">
        <v>38.557894736842108</v>
      </c>
      <c r="E77">
        <v>4.7716647379092869</v>
      </c>
      <c r="F77">
        <v>38.557894736842108</v>
      </c>
      <c r="G77">
        <v>8.3377411496030263</v>
      </c>
      <c r="H77">
        <v>38.557894736842108</v>
      </c>
      <c r="I77">
        <v>9.4311744012478265</v>
      </c>
      <c r="J77">
        <v>38.557894736842108</v>
      </c>
      <c r="K77">
        <v>9.9419336409965133</v>
      </c>
      <c r="L77">
        <v>38.557894736842108</v>
      </c>
      <c r="M77">
        <v>10.316211037403221</v>
      </c>
      <c r="N77">
        <v>38.557894736842108</v>
      </c>
      <c r="O77">
        <v>10.62750460474567</v>
      </c>
      <c r="P77">
        <v>38.557894736842108</v>
      </c>
      <c r="Q77">
        <v>10.900075014101578</v>
      </c>
      <c r="R77">
        <v>38.557894736842108</v>
      </c>
      <c r="S77">
        <v>11.149811744689941</v>
      </c>
    </row>
    <row r="78" spans="1:19" x14ac:dyDescent="0.3">
      <c r="A78">
        <v>75</v>
      </c>
      <c r="D78">
        <v>39.078947368421055</v>
      </c>
      <c r="E78">
        <v>4.8892248832456318</v>
      </c>
      <c r="F78">
        <v>39.078947368421055</v>
      </c>
      <c r="G78">
        <v>8.3604299224298231</v>
      </c>
      <c r="H78">
        <v>39.078947368421055</v>
      </c>
      <c r="I78">
        <v>9.4051340186861534</v>
      </c>
      <c r="J78">
        <v>39.078947368421055</v>
      </c>
      <c r="K78">
        <v>9.933125607174178</v>
      </c>
      <c r="L78">
        <v>39.078947368421055</v>
      </c>
      <c r="M78">
        <v>10.294853071211595</v>
      </c>
      <c r="N78">
        <v>39.078947368421055</v>
      </c>
      <c r="O78">
        <v>10.606849232464388</v>
      </c>
      <c r="P78">
        <v>39.078947368421055</v>
      </c>
      <c r="Q78">
        <v>10.879531146142604</v>
      </c>
      <c r="R78">
        <v>39.078947368421055</v>
      </c>
      <c r="S78">
        <v>11.12898063659668</v>
      </c>
    </row>
    <row r="79" spans="1:19" x14ac:dyDescent="0.3">
      <c r="A79">
        <v>76</v>
      </c>
      <c r="D79">
        <v>39.6</v>
      </c>
      <c r="E79">
        <v>5.0017317615185082</v>
      </c>
      <c r="F79">
        <v>39.6</v>
      </c>
      <c r="G79">
        <v>8.3551725671523869</v>
      </c>
      <c r="H79">
        <v>39.6</v>
      </c>
      <c r="I79">
        <v>9.3938238157744411</v>
      </c>
      <c r="J79">
        <v>39.6</v>
      </c>
      <c r="K79">
        <v>9.9090512970938658</v>
      </c>
      <c r="L79">
        <v>39.6</v>
      </c>
      <c r="M79">
        <v>10.272288933559912</v>
      </c>
      <c r="N79">
        <v>39.6</v>
      </c>
      <c r="O79">
        <v>10.584946281687396</v>
      </c>
      <c r="P79">
        <v>39.6</v>
      </c>
      <c r="Q79">
        <v>10.857705174124842</v>
      </c>
      <c r="R79">
        <v>39.6</v>
      </c>
      <c r="S79">
        <v>11.106837272644043</v>
      </c>
    </row>
    <row r="80" spans="1:19" x14ac:dyDescent="0.3">
      <c r="A80">
        <v>77</v>
      </c>
      <c r="D80">
        <v>40.121052631578948</v>
      </c>
      <c r="E80">
        <v>5.1093068075671582</v>
      </c>
      <c r="F80">
        <v>40.121052631578948</v>
      </c>
      <c r="G80">
        <v>8.3487927665677439</v>
      </c>
      <c r="H80">
        <v>40.121052631578948</v>
      </c>
      <c r="I80">
        <v>9.3815235448777656</v>
      </c>
      <c r="J80">
        <v>40.121052631578948</v>
      </c>
      <c r="K80">
        <v>9.8838231578789681</v>
      </c>
      <c r="L80">
        <v>40.121052631578948</v>
      </c>
      <c r="M80">
        <v>10.263592424106472</v>
      </c>
      <c r="N80">
        <v>40.121052631578948</v>
      </c>
      <c r="O80">
        <v>10.561794335634499</v>
      </c>
      <c r="P80">
        <v>40.121052631578948</v>
      </c>
      <c r="Q80">
        <v>10.834595509187869</v>
      </c>
      <c r="R80">
        <v>40.121052631578948</v>
      </c>
      <c r="S80">
        <v>11.083379745483398</v>
      </c>
    </row>
    <row r="81" spans="1:19" x14ac:dyDescent="0.3">
      <c r="A81">
        <v>78</v>
      </c>
      <c r="D81">
        <v>40.642105263157895</v>
      </c>
      <c r="E81">
        <v>5.2120711997889373</v>
      </c>
      <c r="F81">
        <v>40.642105263157895</v>
      </c>
      <c r="G81">
        <v>8.3412919880920011</v>
      </c>
      <c r="H81">
        <v>40.642105263157895</v>
      </c>
      <c r="I81">
        <v>9.3524303596503042</v>
      </c>
      <c r="J81">
        <v>40.642105263157895</v>
      </c>
      <c r="K81">
        <v>9.8718381652664142</v>
      </c>
      <c r="L81">
        <v>40.642105263157895</v>
      </c>
      <c r="M81">
        <v>10.238652282045189</v>
      </c>
      <c r="N81">
        <v>40.642105263157895</v>
      </c>
      <c r="O81">
        <v>10.537388400581939</v>
      </c>
      <c r="P81">
        <v>40.642105263157895</v>
      </c>
      <c r="Q81">
        <v>10.810196706651999</v>
      </c>
      <c r="R81">
        <v>40.642105263157895</v>
      </c>
      <c r="S81">
        <v>11.058603286743164</v>
      </c>
    </row>
    <row r="82" spans="1:19" x14ac:dyDescent="0.3">
      <c r="A82">
        <v>79</v>
      </c>
      <c r="D82">
        <v>41.163157894736841</v>
      </c>
      <c r="E82">
        <v>5.3101423258402676</v>
      </c>
      <c r="F82">
        <v>41.163157894736841</v>
      </c>
      <c r="G82">
        <v>8.3579006013232586</v>
      </c>
      <c r="H82">
        <v>41.163157894736841</v>
      </c>
      <c r="I82">
        <v>9.338140863137788</v>
      </c>
      <c r="J82">
        <v>41.163157894736841</v>
      </c>
      <c r="K82">
        <v>9.8443625459172424</v>
      </c>
      <c r="L82">
        <v>41.163157894736841</v>
      </c>
      <c r="M82">
        <v>10.21250154783317</v>
      </c>
      <c r="N82">
        <v>41.163157894736841</v>
      </c>
      <c r="O82">
        <v>10.511730559069285</v>
      </c>
      <c r="P82">
        <v>41.163157894736841</v>
      </c>
      <c r="Q82">
        <v>10.784510532776926</v>
      </c>
      <c r="R82">
        <v>41.163157894736841</v>
      </c>
      <c r="S82">
        <v>11.032508850097656</v>
      </c>
    </row>
    <row r="83" spans="1:19" x14ac:dyDescent="0.3">
      <c r="A83">
        <v>80</v>
      </c>
      <c r="D83">
        <v>41.684210526315788</v>
      </c>
      <c r="E83">
        <v>5.4036338510816382</v>
      </c>
      <c r="F83">
        <v>41.684210526315788</v>
      </c>
      <c r="G83">
        <v>8.347924536880555</v>
      </c>
      <c r="H83">
        <v>41.684210526315788</v>
      </c>
      <c r="I83">
        <v>9.3228446792508883</v>
      </c>
      <c r="J83">
        <v>41.684210526315788</v>
      </c>
      <c r="K83">
        <v>9.8157242512909342</v>
      </c>
      <c r="L83">
        <v>41.684210526315788</v>
      </c>
      <c r="M83">
        <v>10.185133262252632</v>
      </c>
      <c r="N83">
        <v>41.684210526315788</v>
      </c>
      <c r="O83">
        <v>10.484813594493986</v>
      </c>
      <c r="P83">
        <v>41.684210526315788</v>
      </c>
      <c r="Q83">
        <v>10.757529996864534</v>
      </c>
      <c r="R83">
        <v>41.684210526315788</v>
      </c>
      <c r="S83">
        <v>11.00508975982666</v>
      </c>
    </row>
    <row r="84" spans="1:19" x14ac:dyDescent="0.3">
      <c r="A84">
        <v>81</v>
      </c>
      <c r="D84">
        <v>42.205263157894734</v>
      </c>
      <c r="E84">
        <v>5.4325613695952626</v>
      </c>
      <c r="F84">
        <v>42.205263157894734</v>
      </c>
      <c r="G84">
        <v>8.3368351954563984</v>
      </c>
      <c r="H84">
        <v>42.205263157894734</v>
      </c>
      <c r="I84">
        <v>9.2906721503514138</v>
      </c>
      <c r="J84">
        <v>42.205263157894734</v>
      </c>
      <c r="K84">
        <v>9.8005175745349291</v>
      </c>
      <c r="L84">
        <v>42.205263157894734</v>
      </c>
      <c r="M84">
        <v>10.156547403812853</v>
      </c>
      <c r="N84">
        <v>42.205263157894734</v>
      </c>
      <c r="O84">
        <v>10.456637288625839</v>
      </c>
      <c r="P84">
        <v>42.205263157894734</v>
      </c>
      <c r="Q84">
        <v>10.729253921222931</v>
      </c>
      <c r="R84">
        <v>42.205263157894734</v>
      </c>
      <c r="S84">
        <v>10.976344108581543</v>
      </c>
    </row>
    <row r="85" spans="1:19" x14ac:dyDescent="0.3">
      <c r="A85">
        <v>82</v>
      </c>
      <c r="D85">
        <v>42.726315789473681</v>
      </c>
      <c r="E85">
        <v>5.5188871985864454</v>
      </c>
      <c r="F85">
        <v>42.726315789473681</v>
      </c>
      <c r="G85">
        <v>8.3246351612337754</v>
      </c>
      <c r="H85">
        <v>42.726315789473681</v>
      </c>
      <c r="I85">
        <v>9.2733581854990721</v>
      </c>
      <c r="J85">
        <v>42.726315789473681</v>
      </c>
      <c r="K85">
        <v>9.7696101434094818</v>
      </c>
      <c r="L85">
        <v>42.726315789473681</v>
      </c>
      <c r="M85">
        <v>10.126739184929452</v>
      </c>
      <c r="N85">
        <v>42.726315789473681</v>
      </c>
      <c r="O85">
        <v>10.42719469165225</v>
      </c>
      <c r="P85">
        <v>42.726315789473681</v>
      </c>
      <c r="Q85">
        <v>10.699674883941858</v>
      </c>
      <c r="R85">
        <v>42.726315789473681</v>
      </c>
      <c r="S85">
        <v>10.946264266967773</v>
      </c>
    </row>
    <row r="86" spans="1:19" x14ac:dyDescent="0.3">
      <c r="A86">
        <v>83</v>
      </c>
      <c r="D86">
        <v>43.247368421052634</v>
      </c>
      <c r="E86">
        <v>5.6009098970492701</v>
      </c>
      <c r="F86">
        <v>43.247368421052634</v>
      </c>
      <c r="G86">
        <v>8.3113241432923601</v>
      </c>
      <c r="H86">
        <v>43.247368421052634</v>
      </c>
      <c r="I86">
        <v>9.2390912109580476</v>
      </c>
      <c r="J86">
        <v>43.247368421052634</v>
      </c>
      <c r="K86">
        <v>9.7375355360272948</v>
      </c>
      <c r="L86">
        <v>43.247368421052634</v>
      </c>
      <c r="M86">
        <v>10.111044990913765</v>
      </c>
      <c r="N86">
        <v>43.247368421052634</v>
      </c>
      <c r="O86">
        <v>10.412944706511444</v>
      </c>
      <c r="P86">
        <v>43.247368421052634</v>
      </c>
      <c r="Q86">
        <v>10.668793605841056</v>
      </c>
      <c r="R86">
        <v>43.247368421052634</v>
      </c>
      <c r="S86">
        <v>10.914851188659668</v>
      </c>
    </row>
    <row r="87" spans="1:19" x14ac:dyDescent="0.3">
      <c r="A87">
        <v>84</v>
      </c>
      <c r="D87">
        <v>43.768421052631581</v>
      </c>
      <c r="E87">
        <v>5.6228002191708821</v>
      </c>
      <c r="F87">
        <v>43.768421052631581</v>
      </c>
      <c r="G87">
        <v>8.2969023916401952</v>
      </c>
      <c r="H87">
        <v>43.768421052631581</v>
      </c>
      <c r="I87">
        <v>9.2197405866613238</v>
      </c>
      <c r="J87">
        <v>43.768421052631581</v>
      </c>
      <c r="K87">
        <v>9.7190533625497366</v>
      </c>
      <c r="L87">
        <v>43.768421052631581</v>
      </c>
      <c r="M87">
        <v>10.078815480557843</v>
      </c>
      <c r="N87">
        <v>43.768421052631581</v>
      </c>
      <c r="O87">
        <v>10.380966511439246</v>
      </c>
      <c r="P87">
        <v>43.768421052631581</v>
      </c>
      <c r="Q87">
        <v>10.636605725367</v>
      </c>
      <c r="R87">
        <v>43.768421052631581</v>
      </c>
      <c r="S87">
        <v>10.882100105285645</v>
      </c>
    </row>
    <row r="88" spans="1:19" x14ac:dyDescent="0.3">
      <c r="A88">
        <v>85</v>
      </c>
      <c r="D88">
        <v>44.289473684210527</v>
      </c>
      <c r="E88">
        <v>5.6430013136362813</v>
      </c>
      <c r="F88">
        <v>44.289473684210527</v>
      </c>
      <c r="G88">
        <v>8.2813678176844121</v>
      </c>
      <c r="H88">
        <v>44.289473684210527</v>
      </c>
      <c r="I88">
        <v>9.1833655788281838</v>
      </c>
      <c r="J88">
        <v>44.289473684210527</v>
      </c>
      <c r="K88">
        <v>9.6846871912480239</v>
      </c>
      <c r="L88">
        <v>44.289473684210527</v>
      </c>
      <c r="M88">
        <v>10.045355573347615</v>
      </c>
      <c r="N88">
        <v>44.289473684210527</v>
      </c>
      <c r="O88">
        <v>10.347714951695835</v>
      </c>
      <c r="P88">
        <v>44.289473684210527</v>
      </c>
      <c r="Q88">
        <v>10.603110051552296</v>
      </c>
      <c r="R88">
        <v>44.289473684210527</v>
      </c>
      <c r="S88">
        <v>10.848011016845703</v>
      </c>
    </row>
    <row r="89" spans="1:19" x14ac:dyDescent="0.3">
      <c r="A89">
        <v>86</v>
      </c>
      <c r="D89">
        <v>44.810526315789474</v>
      </c>
      <c r="E89">
        <v>5.7157250586373962</v>
      </c>
      <c r="F89">
        <v>44.810526315789474</v>
      </c>
      <c r="G89">
        <v>8.2410738554152889</v>
      </c>
      <c r="H89">
        <v>44.810526315789474</v>
      </c>
      <c r="I89">
        <v>9.1619523169321653</v>
      </c>
      <c r="J89">
        <v>44.810526315789474</v>
      </c>
      <c r="K89">
        <v>9.6491403510013996</v>
      </c>
      <c r="L89">
        <v>44.810526315789474</v>
      </c>
      <c r="M89">
        <v>10.010656955739957</v>
      </c>
      <c r="N89">
        <v>44.810526315789474</v>
      </c>
      <c r="O89">
        <v>10.313178808888274</v>
      </c>
      <c r="P89">
        <v>44.810526315789474</v>
      </c>
      <c r="Q89">
        <v>10.568294379244774</v>
      </c>
      <c r="R89">
        <v>44.810526315789474</v>
      </c>
      <c r="S89">
        <v>10.812569618225098</v>
      </c>
    </row>
    <row r="90" spans="1:19" x14ac:dyDescent="0.3">
      <c r="A90">
        <v>87</v>
      </c>
      <c r="D90">
        <v>45.331578947368421</v>
      </c>
      <c r="E90">
        <v>5.7317398625223603</v>
      </c>
      <c r="F90">
        <v>45.331578947368421</v>
      </c>
      <c r="G90">
        <v>8.2235266756372152</v>
      </c>
      <c r="H90">
        <v>45.331578947368421</v>
      </c>
      <c r="I90">
        <v>9.1234558238342149</v>
      </c>
      <c r="J90">
        <v>45.331578947368421</v>
      </c>
      <c r="K90">
        <v>9.6124167537593443</v>
      </c>
      <c r="L90">
        <v>45.331578947368421</v>
      </c>
      <c r="M90">
        <v>9.974722084375351</v>
      </c>
      <c r="N90">
        <v>45.331578947368421</v>
      </c>
      <c r="O90">
        <v>10.277360636788808</v>
      </c>
      <c r="P90">
        <v>45.331578947368421</v>
      </c>
      <c r="Q90">
        <v>10.532160169765353</v>
      </c>
      <c r="R90">
        <v>45.331578947368421</v>
      </c>
      <c r="S90">
        <v>10.775777816772461</v>
      </c>
    </row>
    <row r="91" spans="1:19" x14ac:dyDescent="0.3">
      <c r="A91">
        <v>88</v>
      </c>
      <c r="D91">
        <v>45.852631578947367</v>
      </c>
      <c r="E91">
        <v>5.7461152896208239</v>
      </c>
      <c r="F91">
        <v>45.852631578947367</v>
      </c>
      <c r="G91">
        <v>8.204861925518145</v>
      </c>
      <c r="H91">
        <v>45.852631578947367</v>
      </c>
      <c r="I91">
        <v>9.0999636534668156</v>
      </c>
      <c r="J91">
        <v>45.852631578947367</v>
      </c>
      <c r="K91">
        <v>9.5894615491971358</v>
      </c>
      <c r="L91">
        <v>45.852631578947367</v>
      </c>
      <c r="M91">
        <v>9.9375477574820472</v>
      </c>
      <c r="N91">
        <v>45.852631578947367</v>
      </c>
      <c r="O91">
        <v>10.240256944242418</v>
      </c>
      <c r="P91">
        <v>45.852631578947367</v>
      </c>
      <c r="Q91">
        <v>10.494704782555186</v>
      </c>
      <c r="R91">
        <v>45.852631578947367</v>
      </c>
      <c r="S91">
        <v>10.737632751464844</v>
      </c>
    </row>
    <row r="92" spans="1:19" x14ac:dyDescent="0.3">
      <c r="A92">
        <v>89</v>
      </c>
      <c r="D92">
        <v>46.373684210526314</v>
      </c>
      <c r="E92">
        <v>5.7588629266430988</v>
      </c>
      <c r="F92">
        <v>46.373684210526314</v>
      </c>
      <c r="G92">
        <v>8.1850784172672419</v>
      </c>
      <c r="H92">
        <v>46.373684210526314</v>
      </c>
      <c r="I92">
        <v>9.059331109061775</v>
      </c>
      <c r="J92">
        <v>46.373684210526314</v>
      </c>
      <c r="K92">
        <v>9.5504130441829762</v>
      </c>
      <c r="L92">
        <v>46.373684210526314</v>
      </c>
      <c r="M92">
        <v>9.8991293977994115</v>
      </c>
      <c r="N92">
        <v>46.373684210526314</v>
      </c>
      <c r="O92">
        <v>10.201863497771448</v>
      </c>
      <c r="P92">
        <v>46.373684210526314</v>
      </c>
      <c r="Q92">
        <v>10.455924335489675</v>
      </c>
      <c r="R92">
        <v>46.373684210526314</v>
      </c>
      <c r="S92">
        <v>10.698131561279297</v>
      </c>
    </row>
    <row r="93" spans="1:19" x14ac:dyDescent="0.3">
      <c r="A93">
        <v>90</v>
      </c>
      <c r="D93">
        <v>46.89473684210526</v>
      </c>
      <c r="E93">
        <v>5.8202734369658051</v>
      </c>
      <c r="F93">
        <v>46.89473684210526</v>
      </c>
      <c r="G93">
        <v>8.1641721825810158</v>
      </c>
      <c r="H93">
        <v>46.89473684210526</v>
      </c>
      <c r="I93">
        <v>9.0175958663427487</v>
      </c>
      <c r="J93">
        <v>46.89473684210526</v>
      </c>
      <c r="K93">
        <v>9.5101739997338832</v>
      </c>
      <c r="L93">
        <v>46.89473684210526</v>
      </c>
      <c r="M93">
        <v>9.85946182738369</v>
      </c>
      <c r="N93">
        <v>46.89473684210526</v>
      </c>
      <c r="O93">
        <v>10.162173288857421</v>
      </c>
      <c r="P93">
        <v>46.89473684210526</v>
      </c>
      <c r="Q93">
        <v>10.415809981755398</v>
      </c>
      <c r="R93">
        <v>46.89473684210526</v>
      </c>
      <c r="S93">
        <v>10.65726375579834</v>
      </c>
    </row>
    <row r="94" spans="1:19" x14ac:dyDescent="0.3">
      <c r="A94">
        <v>91</v>
      </c>
      <c r="D94">
        <v>47.415789473684214</v>
      </c>
      <c r="E94">
        <v>5.8290083569551214</v>
      </c>
      <c r="F94">
        <v>47.415789473684214</v>
      </c>
      <c r="G94">
        <v>8.1192963841098962</v>
      </c>
      <c r="H94">
        <v>47.415789473684214</v>
      </c>
      <c r="I94">
        <v>8.9909451459254033</v>
      </c>
      <c r="J94">
        <v>47.415789473684214</v>
      </c>
      <c r="K94">
        <v>9.4687456514485149</v>
      </c>
      <c r="L94">
        <v>47.415789473684214</v>
      </c>
      <c r="M94">
        <v>9.8185453797307929</v>
      </c>
      <c r="N94">
        <v>47.415789473684214</v>
      </c>
      <c r="O94">
        <v>10.12118720859006</v>
      </c>
      <c r="P94">
        <v>47.415789473684214</v>
      </c>
      <c r="Q94">
        <v>10.374363606178306</v>
      </c>
      <c r="R94">
        <v>47.415789473684214</v>
      </c>
      <c r="S94">
        <v>10.615032196044922</v>
      </c>
    </row>
    <row r="95" spans="1:19" x14ac:dyDescent="0.3">
      <c r="A95">
        <v>92</v>
      </c>
      <c r="D95">
        <v>47.93684210526316</v>
      </c>
      <c r="E95">
        <v>5.8361571540590358</v>
      </c>
      <c r="F95">
        <v>47.93684210526316</v>
      </c>
      <c r="G95">
        <v>8.096345993018522</v>
      </c>
      <c r="H95">
        <v>47.93684210526316</v>
      </c>
      <c r="I95">
        <v>8.9470541626490743</v>
      </c>
      <c r="J95">
        <v>47.93684210526316</v>
      </c>
      <c r="K95">
        <v>9.4261223288010143</v>
      </c>
      <c r="L95">
        <v>47.93684210526316</v>
      </c>
      <c r="M95">
        <v>9.7919012227785309</v>
      </c>
      <c r="N95">
        <v>47.93684210526316</v>
      </c>
      <c r="O95">
        <v>10.078895266461902</v>
      </c>
      <c r="P95">
        <v>47.93684210526316</v>
      </c>
      <c r="Q95">
        <v>10.331573363329429</v>
      </c>
      <c r="R95">
        <v>47.93684210526316</v>
      </c>
      <c r="S95">
        <v>10.571423530578613</v>
      </c>
    </row>
    <row r="96" spans="1:19" x14ac:dyDescent="0.3">
      <c r="A96">
        <v>93</v>
      </c>
      <c r="D96">
        <v>48.457894736842107</v>
      </c>
      <c r="E96">
        <v>5.8417295113831358</v>
      </c>
      <c r="F96">
        <v>48.457894736842107</v>
      </c>
      <c r="G96">
        <v>8.0722652297800117</v>
      </c>
      <c r="H96">
        <v>48.457894736842107</v>
      </c>
      <c r="I96">
        <v>8.9020559561382377</v>
      </c>
      <c r="J96">
        <v>48.457894736842107</v>
      </c>
      <c r="K96">
        <v>9.3823027452462604</v>
      </c>
      <c r="L96">
        <v>48.457894736842107</v>
      </c>
      <c r="M96">
        <v>9.7484750359612633</v>
      </c>
      <c r="N96">
        <v>48.457894736842107</v>
      </c>
      <c r="O96">
        <v>10.03529854450632</v>
      </c>
      <c r="P96">
        <v>48.457894736842107</v>
      </c>
      <c r="Q96">
        <v>10.28744142606025</v>
      </c>
      <c r="R96">
        <v>48.457894736842107</v>
      </c>
      <c r="S96">
        <v>10.526440620422363</v>
      </c>
    </row>
    <row r="97" spans="1:19" x14ac:dyDescent="0.3">
      <c r="A97">
        <v>94</v>
      </c>
      <c r="D97">
        <v>48.978947368421053</v>
      </c>
      <c r="E97">
        <v>5.8457357156119532</v>
      </c>
      <c r="F97">
        <v>48.978947368421053</v>
      </c>
      <c r="G97">
        <v>8.0245838395711537</v>
      </c>
      <c r="H97">
        <v>48.978947368421053</v>
      </c>
      <c r="I97">
        <v>8.8721927001371395</v>
      </c>
      <c r="J97">
        <v>48.978947368421053</v>
      </c>
      <c r="K97">
        <v>9.3524236469495126</v>
      </c>
      <c r="L97">
        <v>48.978947368421053</v>
      </c>
      <c r="M97">
        <v>9.7037828043741836</v>
      </c>
      <c r="N97">
        <v>48.978947368421053</v>
      </c>
      <c r="O97">
        <v>9.9903886546686298</v>
      </c>
      <c r="P97">
        <v>48.978947368421053</v>
      </c>
      <c r="Q97">
        <v>10.241958753164703</v>
      </c>
      <c r="R97">
        <v>48.978947368421053</v>
      </c>
      <c r="S97">
        <v>10.480074882507324</v>
      </c>
    </row>
    <row r="98" spans="1:19" x14ac:dyDescent="0.3">
      <c r="A98">
        <v>95</v>
      </c>
      <c r="D98">
        <v>49.5</v>
      </c>
      <c r="E98">
        <v>5.8017141370701122</v>
      </c>
      <c r="F98">
        <v>49.5</v>
      </c>
      <c r="G98">
        <v>7.9984331502578643</v>
      </c>
      <c r="H98">
        <v>49.5</v>
      </c>
      <c r="I98">
        <v>8.8250141036508225</v>
      </c>
      <c r="J98">
        <v>49.5</v>
      </c>
      <c r="K98">
        <v>9.3062241445054568</v>
      </c>
      <c r="L98">
        <v>49.5</v>
      </c>
      <c r="M98">
        <v>9.6578227233644576</v>
      </c>
      <c r="N98">
        <v>49.5</v>
      </c>
      <c r="O98">
        <v>9.9441629458916605</v>
      </c>
      <c r="P98">
        <v>49.5</v>
      </c>
      <c r="Q98">
        <v>10.195121112532338</v>
      </c>
      <c r="R98">
        <v>49.5</v>
      </c>
      <c r="S98">
        <v>10.432319641113281</v>
      </c>
    </row>
    <row r="99" spans="1:19" x14ac:dyDescent="0.3">
      <c r="A99">
        <v>96</v>
      </c>
      <c r="D99">
        <v>50.021052631578947</v>
      </c>
      <c r="E99">
        <v>5.8033410450561131</v>
      </c>
      <c r="F99">
        <v>50.021052631578947</v>
      </c>
      <c r="G99">
        <v>7.9488602952994789</v>
      </c>
      <c r="H99">
        <v>50.021052631578947</v>
      </c>
      <c r="I99">
        <v>8.776723797188847</v>
      </c>
      <c r="J99">
        <v>50.021052631578947</v>
      </c>
      <c r="K99">
        <v>9.2588198958432333</v>
      </c>
      <c r="L99">
        <v>50.021052631578947</v>
      </c>
      <c r="M99">
        <v>9.610595054869826</v>
      </c>
      <c r="N99">
        <v>50.021052631578947</v>
      </c>
      <c r="O99">
        <v>9.8966229836413042</v>
      </c>
      <c r="P99">
        <v>50.021052631578947</v>
      </c>
      <c r="Q99">
        <v>10.146931622817903</v>
      </c>
      <c r="R99">
        <v>50.021052631578947</v>
      </c>
      <c r="S99">
        <v>10.383180618286133</v>
      </c>
    </row>
    <row r="100" spans="1:19" x14ac:dyDescent="0.3">
      <c r="A100">
        <v>97</v>
      </c>
      <c r="D100">
        <v>50.542105263157893</v>
      </c>
      <c r="E100">
        <v>5.8034171530521892</v>
      </c>
      <c r="F100">
        <v>50.542105263157893</v>
      </c>
      <c r="G100">
        <v>7.9206235279272637</v>
      </c>
      <c r="H100">
        <v>50.542105263157893</v>
      </c>
      <c r="I100">
        <v>8.7435911902121983</v>
      </c>
      <c r="J100">
        <v>50.542105263157893</v>
      </c>
      <c r="K100">
        <v>9.2101999959076331</v>
      </c>
      <c r="L100">
        <v>50.542105263157893</v>
      </c>
      <c r="M100">
        <v>9.5620851845131654</v>
      </c>
      <c r="N100">
        <v>50.542105263157893</v>
      </c>
      <c r="O100">
        <v>9.847751118591626</v>
      </c>
      <c r="P100">
        <v>50.542105263157893</v>
      </c>
      <c r="Q100">
        <v>10.097371068070137</v>
      </c>
      <c r="R100">
        <v>50.542105263157893</v>
      </c>
      <c r="S100">
        <v>10.332636833190918</v>
      </c>
    </row>
    <row r="101" spans="1:19" x14ac:dyDescent="0.3">
      <c r="A101">
        <v>98</v>
      </c>
      <c r="D101">
        <v>51.06315789473684</v>
      </c>
      <c r="E101">
        <v>5.8019469767474163</v>
      </c>
      <c r="F101">
        <v>51.06315789473684</v>
      </c>
      <c r="G101">
        <v>7.8691450459742036</v>
      </c>
      <c r="H101">
        <v>51.06315789473684</v>
      </c>
      <c r="I101">
        <v>8.6930947340770501</v>
      </c>
      <c r="J101">
        <v>51.06315789473684</v>
      </c>
      <c r="K101">
        <v>9.1603701307595315</v>
      </c>
      <c r="L101">
        <v>51.06315789473684</v>
      </c>
      <c r="M101">
        <v>9.5123015208771236</v>
      </c>
      <c r="N101">
        <v>51.06315789473684</v>
      </c>
      <c r="O101">
        <v>9.7975576503335908</v>
      </c>
      <c r="P101">
        <v>51.06315789473684</v>
      </c>
      <c r="Q101">
        <v>10.046450140361584</v>
      </c>
      <c r="R101">
        <v>51.06315789473684</v>
      </c>
      <c r="S101">
        <v>10.280698776245117</v>
      </c>
    </row>
    <row r="102" spans="1:19" x14ac:dyDescent="0.3">
      <c r="A102">
        <v>99</v>
      </c>
      <c r="D102">
        <v>51.584210526315786</v>
      </c>
      <c r="E102">
        <v>5.7989438916118816</v>
      </c>
      <c r="F102">
        <v>51.584210526315786</v>
      </c>
      <c r="G102">
        <v>7.8388025760084101</v>
      </c>
      <c r="H102">
        <v>51.584210526315786</v>
      </c>
      <c r="I102">
        <v>8.641476585930695</v>
      </c>
      <c r="J102">
        <v>51.584210526315786</v>
      </c>
      <c r="K102">
        <v>9.1093229716773738</v>
      </c>
      <c r="L102">
        <v>51.584210526315786</v>
      </c>
      <c r="M102">
        <v>9.4612335809802541</v>
      </c>
      <c r="N102">
        <v>51.584210526315786</v>
      </c>
      <c r="O102">
        <v>9.7460307476559151</v>
      </c>
      <c r="P102">
        <v>51.584210526315786</v>
      </c>
      <c r="Q102">
        <v>9.9941569182738803</v>
      </c>
      <c r="R102">
        <v>51.584210526315786</v>
      </c>
      <c r="S102">
        <v>10.22735595703125</v>
      </c>
    </row>
    <row r="103" spans="1:19" x14ac:dyDescent="0.3">
      <c r="A103">
        <v>100</v>
      </c>
      <c r="D103">
        <v>52.10526315789474</v>
      </c>
      <c r="E103">
        <v>5.7510056377816738</v>
      </c>
      <c r="F103">
        <v>52.10526315789474</v>
      </c>
      <c r="G103">
        <v>7.7854128288484743</v>
      </c>
      <c r="H103">
        <v>52.10526315789474</v>
      </c>
      <c r="I103">
        <v>8.5887375690837882</v>
      </c>
      <c r="J103">
        <v>52.10526315789474</v>
      </c>
      <c r="K103">
        <v>9.057058082622456</v>
      </c>
      <c r="L103">
        <v>52.10526315789474</v>
      </c>
      <c r="M103">
        <v>9.4088788544340503</v>
      </c>
      <c r="N103">
        <v>52.10526315789474</v>
      </c>
      <c r="O103">
        <v>9.6931650304824846</v>
      </c>
      <c r="P103">
        <v>52.10526315789474</v>
      </c>
      <c r="Q103">
        <v>9.9404834733554353</v>
      </c>
      <c r="R103">
        <v>52.10526315789474</v>
      </c>
      <c r="S103">
        <v>10.17259693145752</v>
      </c>
    </row>
    <row r="104" spans="1:19" x14ac:dyDescent="0.3">
      <c r="A104">
        <v>101</v>
      </c>
      <c r="D104">
        <v>52.626315789473686</v>
      </c>
      <c r="E104">
        <v>5.7456407643952456</v>
      </c>
      <c r="F104">
        <v>52.626315789473686</v>
      </c>
      <c r="G104">
        <v>7.752943924343163</v>
      </c>
      <c r="H104">
        <v>52.626315789473686</v>
      </c>
      <c r="I104">
        <v>8.5511688794955152</v>
      </c>
      <c r="J104">
        <v>52.626315789473686</v>
      </c>
      <c r="K104">
        <v>9.0187945656569894</v>
      </c>
      <c r="L104">
        <v>52.626315789473686</v>
      </c>
      <c r="M104">
        <v>9.3552298557151214</v>
      </c>
      <c r="N104">
        <v>52.626315789473686</v>
      </c>
      <c r="O104">
        <v>9.6389548887469463</v>
      </c>
      <c r="P104">
        <v>52.626315789473686</v>
      </c>
      <c r="Q104">
        <v>9.885425703764481</v>
      </c>
      <c r="R104">
        <v>52.626315789473686</v>
      </c>
      <c r="S104">
        <v>10.116419792175293</v>
      </c>
    </row>
    <row r="105" spans="1:19" x14ac:dyDescent="0.3">
      <c r="A105">
        <v>102</v>
      </c>
      <c r="D105">
        <v>53.147368421052633</v>
      </c>
      <c r="E105">
        <v>5.7387550687414013</v>
      </c>
      <c r="F105">
        <v>53.147368421052633</v>
      </c>
      <c r="G105">
        <v>7.697628631082603</v>
      </c>
      <c r="H105">
        <v>53.147368421052633</v>
      </c>
      <c r="I105">
        <v>8.4961940584486086</v>
      </c>
      <c r="J105">
        <v>53.147368421052633</v>
      </c>
      <c r="K105">
        <v>8.9640835362732112</v>
      </c>
      <c r="L105">
        <v>53.147368421052633</v>
      </c>
      <c r="M105">
        <v>9.3002916984650916</v>
      </c>
      <c r="N105">
        <v>53.147368421052633</v>
      </c>
      <c r="O105">
        <v>9.5834057965394237</v>
      </c>
      <c r="P105">
        <v>53.147368421052633</v>
      </c>
      <c r="Q105">
        <v>9.8289900200149418</v>
      </c>
      <c r="R105">
        <v>53.147368421052633</v>
      </c>
      <c r="S105">
        <v>10.058832168579102</v>
      </c>
    </row>
    <row r="106" spans="1:19" x14ac:dyDescent="0.3">
      <c r="A106">
        <v>103</v>
      </c>
      <c r="D106">
        <v>53.668421052631579</v>
      </c>
      <c r="E106">
        <v>5.6885281501273894</v>
      </c>
      <c r="F106">
        <v>53.668421052631579</v>
      </c>
      <c r="G106">
        <v>7.6630150269445592</v>
      </c>
      <c r="H106">
        <v>53.668421052631579</v>
      </c>
      <c r="I106">
        <v>8.4400872102764062</v>
      </c>
      <c r="J106">
        <v>53.668421052631579</v>
      </c>
      <c r="K106">
        <v>8.9081411871906333</v>
      </c>
      <c r="L106">
        <v>53.668421052631579</v>
      </c>
      <c r="M106">
        <v>9.2440548224495966</v>
      </c>
      <c r="N106">
        <v>53.668421052631579</v>
      </c>
      <c r="O106">
        <v>9.5265050543174858</v>
      </c>
      <c r="P106">
        <v>53.668421052631579</v>
      </c>
      <c r="Q106">
        <v>9.7711599256614043</v>
      </c>
      <c r="R106">
        <v>53.668421052631579</v>
      </c>
      <c r="S106">
        <v>9.9998130798339844</v>
      </c>
    </row>
    <row r="107" spans="1:19" x14ac:dyDescent="0.3">
      <c r="A107">
        <v>104</v>
      </c>
      <c r="D107">
        <v>54.189473684210526</v>
      </c>
      <c r="E107">
        <v>5.6792891845202007</v>
      </c>
      <c r="F107">
        <v>54.189473684210526</v>
      </c>
      <c r="G107">
        <v>7.6057624443786285</v>
      </c>
      <c r="H107">
        <v>54.189473684210526</v>
      </c>
      <c r="I107">
        <v>8.382849736586607</v>
      </c>
      <c r="J107">
        <v>54.189473684210526</v>
      </c>
      <c r="K107">
        <v>8.8509656485193489</v>
      </c>
      <c r="L107">
        <v>54.189473684210526</v>
      </c>
      <c r="M107">
        <v>9.1865171876332745</v>
      </c>
      <c r="N107">
        <v>54.189473684210526</v>
      </c>
      <c r="O107">
        <v>9.4682525632939232</v>
      </c>
      <c r="P107">
        <v>54.189473684210526</v>
      </c>
      <c r="Q107">
        <v>9.7119394441713549</v>
      </c>
      <c r="R107">
        <v>54.189473684210526</v>
      </c>
      <c r="S107">
        <v>9.9393720626831055</v>
      </c>
    </row>
    <row r="108" spans="1:19" x14ac:dyDescent="0.3">
      <c r="A108">
        <v>105</v>
      </c>
      <c r="D108">
        <v>54.710526315789473</v>
      </c>
      <c r="E108">
        <v>5.6276083350162214</v>
      </c>
      <c r="F108">
        <v>54.710526315789473</v>
      </c>
      <c r="G108">
        <v>7.5475483245477193</v>
      </c>
      <c r="H108">
        <v>54.710526315789473</v>
      </c>
      <c r="I108">
        <v>8.3244808796880498</v>
      </c>
      <c r="J108">
        <v>54.710526315789473</v>
      </c>
      <c r="K108">
        <v>8.7925552772882085</v>
      </c>
      <c r="L108">
        <v>54.710526315789473</v>
      </c>
      <c r="M108">
        <v>9.1276749182147832</v>
      </c>
      <c r="N108">
        <v>54.710526315789473</v>
      </c>
      <c r="O108">
        <v>9.4086416873545957</v>
      </c>
      <c r="P108">
        <v>54.710526315789473</v>
      </c>
      <c r="Q108">
        <v>9.6513177772279732</v>
      </c>
      <c r="R108">
        <v>54.710526315789473</v>
      </c>
      <c r="S108">
        <v>9.8774938583374023</v>
      </c>
    </row>
    <row r="109" spans="1:19" x14ac:dyDescent="0.3">
      <c r="A109">
        <v>106</v>
      </c>
      <c r="D109">
        <v>55.231578947368419</v>
      </c>
      <c r="E109">
        <v>5.5753140890363788</v>
      </c>
      <c r="F109">
        <v>55.231578947368419</v>
      </c>
      <c r="G109">
        <v>7.5097848718687361</v>
      </c>
      <c r="H109">
        <v>55.231578947368419</v>
      </c>
      <c r="I109">
        <v>8.2649774068595274</v>
      </c>
      <c r="J109">
        <v>55.231578947368419</v>
      </c>
      <c r="K109">
        <v>8.7329070327121983</v>
      </c>
      <c r="L109">
        <v>55.231578947368419</v>
      </c>
      <c r="M109">
        <v>9.0675261459670935</v>
      </c>
      <c r="N109">
        <v>55.231578947368419</v>
      </c>
      <c r="O109">
        <v>9.3476718512104142</v>
      </c>
      <c r="P109">
        <v>55.231578947368419</v>
      </c>
      <c r="Q109">
        <v>9.5892963429186597</v>
      </c>
      <c r="R109">
        <v>55.231578947368419</v>
      </c>
      <c r="S109">
        <v>9.8141813278198242</v>
      </c>
    </row>
    <row r="110" spans="1:19" x14ac:dyDescent="0.3">
      <c r="A110">
        <v>107</v>
      </c>
      <c r="D110">
        <v>55.752631578947366</v>
      </c>
      <c r="E110">
        <v>5.5628762900232553</v>
      </c>
      <c r="F110">
        <v>55.752631578947366</v>
      </c>
      <c r="G110">
        <v>7.4496231969489433</v>
      </c>
      <c r="H110">
        <v>55.752631578947366</v>
      </c>
      <c r="I110">
        <v>8.2206051131293805</v>
      </c>
      <c r="J110">
        <v>55.752631578947366</v>
      </c>
      <c r="K110">
        <v>8.6720210345091076</v>
      </c>
      <c r="L110">
        <v>55.752631578947366</v>
      </c>
      <c r="M110">
        <v>9.0060683281277178</v>
      </c>
      <c r="N110">
        <v>55.752631578947366</v>
      </c>
      <c r="O110">
        <v>9.2853383101882265</v>
      </c>
      <c r="P110">
        <v>55.752631578947366</v>
      </c>
      <c r="Q110">
        <v>9.5258688441513542</v>
      </c>
      <c r="R110">
        <v>55.752631578947366</v>
      </c>
      <c r="S110">
        <v>9.7494277954101563</v>
      </c>
    </row>
    <row r="111" spans="1:19" x14ac:dyDescent="0.3">
      <c r="A111">
        <v>108</v>
      </c>
      <c r="D111">
        <v>56.273684210526319</v>
      </c>
      <c r="E111">
        <v>5.5091297241478969</v>
      </c>
      <c r="F111">
        <v>56.273684210526319</v>
      </c>
      <c r="G111">
        <v>7.3884977185895497</v>
      </c>
      <c r="H111">
        <v>56.273684210526319</v>
      </c>
      <c r="I111">
        <v>8.1588273345131945</v>
      </c>
      <c r="J111">
        <v>56.273684210526319</v>
      </c>
      <c r="K111">
        <v>8.6098915384645878</v>
      </c>
      <c r="L111">
        <v>56.273684210526319</v>
      </c>
      <c r="M111">
        <v>8.9432946335868362</v>
      </c>
      <c r="N111">
        <v>56.273684210526319</v>
      </c>
      <c r="O111">
        <v>9.221633614871088</v>
      </c>
      <c r="P111">
        <v>56.273684210526319</v>
      </c>
      <c r="Q111">
        <v>9.4610260596659259</v>
      </c>
      <c r="R111">
        <v>56.273684210526319</v>
      </c>
      <c r="S111">
        <v>9.6832218170166016</v>
      </c>
    </row>
    <row r="112" spans="1:19" x14ac:dyDescent="0.3">
      <c r="A112">
        <v>109</v>
      </c>
      <c r="D112">
        <v>56.794736842105266</v>
      </c>
      <c r="E112">
        <v>5.494335295335901</v>
      </c>
      <c r="F112">
        <v>56.794736842105266</v>
      </c>
      <c r="G112">
        <v>7.326413233619042</v>
      </c>
      <c r="H112">
        <v>56.794736842105266</v>
      </c>
      <c r="I112">
        <v>8.0959112887008828</v>
      </c>
      <c r="J112">
        <v>56.794736842105266</v>
      </c>
      <c r="K112">
        <v>8.5465187082998586</v>
      </c>
      <c r="L112">
        <v>56.794736842105266</v>
      </c>
      <c r="M112">
        <v>8.8792059781754595</v>
      </c>
      <c r="N112">
        <v>56.794736842105266</v>
      </c>
      <c r="O112">
        <v>9.1565591984372681</v>
      </c>
      <c r="P112">
        <v>56.794736842105266</v>
      </c>
      <c r="Q112">
        <v>9.3947719837508359</v>
      </c>
      <c r="R112">
        <v>56.794736842105266</v>
      </c>
      <c r="S112">
        <v>9.615570068359375</v>
      </c>
    </row>
    <row r="113" spans="1:19" x14ac:dyDescent="0.3">
      <c r="A113">
        <v>110</v>
      </c>
      <c r="D113">
        <v>57.315789473684212</v>
      </c>
      <c r="E113">
        <v>5.4391353831746159</v>
      </c>
      <c r="F113">
        <v>57.315789473684212</v>
      </c>
      <c r="G113">
        <v>7.2633721985981001</v>
      </c>
      <c r="H113">
        <v>57.315789473684212</v>
      </c>
      <c r="I113">
        <v>8.0318595727744899</v>
      </c>
      <c r="J113">
        <v>57.315789473684212</v>
      </c>
      <c r="K113">
        <v>8.4819056701139868</v>
      </c>
      <c r="L113">
        <v>57.315789473684212</v>
      </c>
      <c r="M113">
        <v>8.8138053337778963</v>
      </c>
      <c r="N113">
        <v>57.315789473684212</v>
      </c>
      <c r="O113">
        <v>9.0901193682335695</v>
      </c>
      <c r="P113">
        <v>57.315789473684212</v>
      </c>
      <c r="Q113">
        <v>9.3271113933453229</v>
      </c>
      <c r="R113">
        <v>57.315789473684212</v>
      </c>
      <c r="S113">
        <v>9.546478271484375</v>
      </c>
    </row>
    <row r="114" spans="1:19" x14ac:dyDescent="0.3">
      <c r="A114">
        <v>111</v>
      </c>
      <c r="D114">
        <v>57.836842105263159</v>
      </c>
      <c r="E114">
        <v>5.3833393097463755</v>
      </c>
      <c r="F114">
        <v>57.836842105263159</v>
      </c>
      <c r="G114">
        <v>7.2204200823221356</v>
      </c>
      <c r="H114">
        <v>57.836842105263159</v>
      </c>
      <c r="I114">
        <v>7.9666681746208283</v>
      </c>
      <c r="J114">
        <v>57.836842105263159</v>
      </c>
      <c r="K114">
        <v>8.4160431384449481</v>
      </c>
      <c r="L114">
        <v>57.836842105263159</v>
      </c>
      <c r="M114">
        <v>8.7470791831377337</v>
      </c>
      <c r="N114">
        <v>57.836842105263159</v>
      </c>
      <c r="O114">
        <v>9.0222957265219001</v>
      </c>
      <c r="P114">
        <v>57.836842105263159</v>
      </c>
      <c r="Q114">
        <v>9.258021304662627</v>
      </c>
      <c r="R114">
        <v>57.836842105263159</v>
      </c>
      <c r="S114">
        <v>9.4759187698364258</v>
      </c>
    </row>
    <row r="115" spans="1:19" x14ac:dyDescent="0.3">
      <c r="A115">
        <v>112</v>
      </c>
      <c r="D115">
        <v>58.357894736842105</v>
      </c>
      <c r="E115">
        <v>5.3269498609806014</v>
      </c>
      <c r="F115">
        <v>58.357894736842105</v>
      </c>
      <c r="G115">
        <v>7.1554208043914738</v>
      </c>
      <c r="H115">
        <v>58.357894736842105</v>
      </c>
      <c r="I115">
        <v>7.9003390064069743</v>
      </c>
      <c r="J115">
        <v>58.357894736842105</v>
      </c>
      <c r="K115">
        <v>8.3489334475922341</v>
      </c>
      <c r="L115">
        <v>58.357894736842105</v>
      </c>
      <c r="M115">
        <v>8.6790306023233015</v>
      </c>
      <c r="N115">
        <v>58.357894736842105</v>
      </c>
      <c r="O115">
        <v>8.953093036022242</v>
      </c>
      <c r="P115">
        <v>58.357894736842105</v>
      </c>
      <c r="Q115">
        <v>9.1875086790716267</v>
      </c>
      <c r="R115">
        <v>58.357894736842105</v>
      </c>
      <c r="S115">
        <v>9.4039011001586914</v>
      </c>
    </row>
    <row r="116" spans="1:19" x14ac:dyDescent="0.3">
      <c r="A116">
        <v>113</v>
      </c>
      <c r="D116">
        <v>58.878947368421052</v>
      </c>
      <c r="E116">
        <v>5.2699670698920222</v>
      </c>
      <c r="F116">
        <v>58.878947368421052</v>
      </c>
      <c r="G116">
        <v>7.0894614547722554</v>
      </c>
      <c r="H116">
        <v>58.878947368421052</v>
      </c>
      <c r="I116">
        <v>7.8328695658914871</v>
      </c>
      <c r="J116">
        <v>58.878947368421052</v>
      </c>
      <c r="K116">
        <v>8.2805758780890564</v>
      </c>
      <c r="L116">
        <v>58.878947368421052</v>
      </c>
      <c r="M116">
        <v>8.6096615953628053</v>
      </c>
      <c r="N116">
        <v>58.878947368421052</v>
      </c>
      <c r="O116">
        <v>8.882515531771066</v>
      </c>
      <c r="P116">
        <v>58.878947368421052</v>
      </c>
      <c r="Q116">
        <v>9.1155798934497909</v>
      </c>
      <c r="R116">
        <v>58.878947368421052</v>
      </c>
      <c r="S116">
        <v>9.3304338455200195</v>
      </c>
    </row>
    <row r="117" spans="1:19" x14ac:dyDescent="0.3">
      <c r="A117">
        <v>114</v>
      </c>
      <c r="D117">
        <v>59.4</v>
      </c>
      <c r="E117">
        <v>5.2124087147338649</v>
      </c>
      <c r="F117">
        <v>59.4</v>
      </c>
      <c r="G117">
        <v>7.0225581340550711</v>
      </c>
      <c r="H117">
        <v>59.4</v>
      </c>
      <c r="I117">
        <v>7.7642683921817515</v>
      </c>
      <c r="J117">
        <v>59.4</v>
      </c>
      <c r="K117">
        <v>8.210971378574035</v>
      </c>
      <c r="L117">
        <v>59.4</v>
      </c>
      <c r="M117">
        <v>8.5389656620418002</v>
      </c>
      <c r="N117">
        <v>59.4</v>
      </c>
      <c r="O117">
        <v>8.8105503772925076</v>
      </c>
      <c r="P117">
        <v>59.4</v>
      </c>
      <c r="Q117">
        <v>9.0422163315610806</v>
      </c>
      <c r="R117">
        <v>59.4</v>
      </c>
      <c r="S117">
        <v>9.2554931640625</v>
      </c>
    </row>
    <row r="118" spans="1:19" x14ac:dyDescent="0.3">
      <c r="A118">
        <v>115</v>
      </c>
      <c r="D118">
        <v>59.921052631578945</v>
      </c>
      <c r="E118">
        <v>5.154271307999287</v>
      </c>
      <c r="F118">
        <v>59.921052631578945</v>
      </c>
      <c r="G118">
        <v>6.954703086987478</v>
      </c>
      <c r="H118">
        <v>59.921052631578945</v>
      </c>
      <c r="I118">
        <v>7.6945303113904302</v>
      </c>
      <c r="J118">
        <v>59.921052631578945</v>
      </c>
      <c r="K118">
        <v>8.1401199015118166</v>
      </c>
      <c r="L118">
        <v>59.921052631578945</v>
      </c>
      <c r="M118">
        <v>8.4669484343701917</v>
      </c>
      <c r="N118">
        <v>59.921052631578945</v>
      </c>
      <c r="O118">
        <v>8.7372092295649963</v>
      </c>
      <c r="P118">
        <v>59.921052631578945</v>
      </c>
      <c r="Q118">
        <v>8.9674361264300089</v>
      </c>
      <c r="R118">
        <v>59.921052631578945</v>
      </c>
      <c r="S118">
        <v>9.1791038513183594</v>
      </c>
    </row>
    <row r="119" spans="1:19" x14ac:dyDescent="0.3">
      <c r="A119">
        <v>116</v>
      </c>
      <c r="D119">
        <v>60.442105263157892</v>
      </c>
      <c r="E119">
        <v>5.0955677905571655</v>
      </c>
      <c r="F119">
        <v>60.442105263157892</v>
      </c>
      <c r="G119">
        <v>6.8859062374072106</v>
      </c>
      <c r="H119">
        <v>60.442105263157892</v>
      </c>
      <c r="I119">
        <v>7.6236603318957759</v>
      </c>
      <c r="J119">
        <v>60.442105263157892</v>
      </c>
      <c r="K119">
        <v>8.0680201573793333</v>
      </c>
      <c r="L119">
        <v>60.442105263157892</v>
      </c>
      <c r="M119">
        <v>8.3936028577095154</v>
      </c>
      <c r="N119">
        <v>60.442105263157892</v>
      </c>
      <c r="O119">
        <v>8.6624774925211714</v>
      </c>
      <c r="P119">
        <v>60.442105263157892</v>
      </c>
      <c r="Q119">
        <v>8.8912162563567207</v>
      </c>
      <c r="R119">
        <v>60.442105263157892</v>
      </c>
      <c r="S119">
        <v>9.1012325286865234</v>
      </c>
    </row>
    <row r="120" spans="1:19" x14ac:dyDescent="0.3">
      <c r="A120">
        <v>117</v>
      </c>
      <c r="D120">
        <v>60.963157894736845</v>
      </c>
      <c r="E120">
        <v>5.036309146592858</v>
      </c>
      <c r="F120">
        <v>60.963157894736845</v>
      </c>
      <c r="G120">
        <v>6.8161750197270941</v>
      </c>
      <c r="H120">
        <v>60.963157894736845</v>
      </c>
      <c r="I120">
        <v>7.551662624789051</v>
      </c>
      <c r="J120">
        <v>60.963157894736845</v>
      </c>
      <c r="K120">
        <v>7.9946768069320155</v>
      </c>
      <c r="L120">
        <v>60.963157894736845</v>
      </c>
      <c r="M120">
        <v>8.3189347268857752</v>
      </c>
      <c r="N120">
        <v>60.963157894736845</v>
      </c>
      <c r="O120">
        <v>8.586365837791865</v>
      </c>
      <c r="P120">
        <v>60.963157894736845</v>
      </c>
      <c r="Q120">
        <v>8.8135735382501181</v>
      </c>
      <c r="R120">
        <v>60.963157894736845</v>
      </c>
      <c r="S120">
        <v>9.0219049453735352</v>
      </c>
    </row>
    <row r="121" spans="1:19" x14ac:dyDescent="0.3">
      <c r="A121">
        <v>118</v>
      </c>
      <c r="D121">
        <v>61.484210526315792</v>
      </c>
      <c r="E121">
        <v>4.9764865544117889</v>
      </c>
      <c r="F121">
        <v>61.484210526315792</v>
      </c>
      <c r="G121">
        <v>6.7455011934409512</v>
      </c>
      <c r="H121">
        <v>61.484210526315792</v>
      </c>
      <c r="I121">
        <v>7.4785300612287138</v>
      </c>
      <c r="J121">
        <v>61.484210526315792</v>
      </c>
      <c r="K121">
        <v>7.9200821805245081</v>
      </c>
      <c r="L121">
        <v>61.484210526315792</v>
      </c>
      <c r="M121">
        <v>8.2429359635713162</v>
      </c>
      <c r="N121">
        <v>61.484210526315792</v>
      </c>
      <c r="O121">
        <v>8.5088639604111407</v>
      </c>
      <c r="P121">
        <v>61.484210526315792</v>
      </c>
      <c r="Q121">
        <v>8.7344950921498565</v>
      </c>
      <c r="R121">
        <v>61.484210526315792</v>
      </c>
      <c r="S121">
        <v>8.9411048889160156</v>
      </c>
    </row>
    <row r="122" spans="1:19" x14ac:dyDescent="0.3">
      <c r="A122">
        <v>119</v>
      </c>
      <c r="D122">
        <v>62.005263157894738</v>
      </c>
      <c r="E122">
        <v>4.9161174329929533</v>
      </c>
      <c r="F122">
        <v>62.005263157894738</v>
      </c>
      <c r="G122">
        <v>6.6739008566519118</v>
      </c>
      <c r="H122">
        <v>62.005263157894738</v>
      </c>
      <c r="I122">
        <v>7.4042795755388688</v>
      </c>
      <c r="J122">
        <v>62.005263157894738</v>
      </c>
      <c r="K122">
        <v>7.8442542203747587</v>
      </c>
      <c r="L122">
        <v>62.005263157894738</v>
      </c>
      <c r="M122">
        <v>8.1656256762791308</v>
      </c>
      <c r="N122">
        <v>62.005263157894738</v>
      </c>
      <c r="O122">
        <v>8.4299913610330535</v>
      </c>
      <c r="P122">
        <v>62.005263157894738</v>
      </c>
      <c r="Q122">
        <v>8.6540006491934456</v>
      </c>
      <c r="R122">
        <v>62.005263157894738</v>
      </c>
      <c r="S122">
        <v>8.858851432800293</v>
      </c>
    </row>
    <row r="123" spans="1:19" x14ac:dyDescent="0.3">
      <c r="A123">
        <v>120</v>
      </c>
      <c r="D123">
        <v>62.526315789473685</v>
      </c>
      <c r="E123">
        <v>4.8552153519871855</v>
      </c>
      <c r="F123">
        <v>62.526315789473685</v>
      </c>
      <c r="G123">
        <v>6.6013778799248826</v>
      </c>
      <c r="H123">
        <v>62.526315789473685</v>
      </c>
      <c r="I123">
        <v>7.3289046140592005</v>
      </c>
      <c r="J123">
        <v>62.526315789473685</v>
      </c>
      <c r="K123">
        <v>7.7671806364336504</v>
      </c>
      <c r="L123">
        <v>62.526315789473685</v>
      </c>
      <c r="M123">
        <v>8.0869880495497419</v>
      </c>
      <c r="N123">
        <v>62.526315789473685</v>
      </c>
      <c r="O123">
        <v>8.3497323289817906</v>
      </c>
      <c r="P123">
        <v>62.526315789473685</v>
      </c>
      <c r="Q123">
        <v>8.5720764364660855</v>
      </c>
      <c r="R123">
        <v>62.526315789473685</v>
      </c>
      <c r="S123">
        <v>8.7751350402832031</v>
      </c>
    </row>
    <row r="124" spans="1:19" x14ac:dyDescent="0.3">
      <c r="A124">
        <v>121</v>
      </c>
      <c r="D124">
        <v>63.047368421052632</v>
      </c>
      <c r="E124">
        <v>4.7937791772283536</v>
      </c>
      <c r="F124">
        <v>63.047368421052632</v>
      </c>
      <c r="G124">
        <v>6.5279405024683452</v>
      </c>
      <c r="H124">
        <v>63.047368421052632</v>
      </c>
      <c r="I124">
        <v>7.2524197801139323</v>
      </c>
      <c r="J124">
        <v>63.047368421052632</v>
      </c>
      <c r="K124">
        <v>7.6888766120472845</v>
      </c>
      <c r="L124">
        <v>63.047368421052632</v>
      </c>
      <c r="M124">
        <v>8.0070364415168065</v>
      </c>
      <c r="N124">
        <v>63.047368421052632</v>
      </c>
      <c r="O124">
        <v>8.2680949585730872</v>
      </c>
      <c r="P124">
        <v>63.047368421052632</v>
      </c>
      <c r="Q124">
        <v>8.4887239223432438</v>
      </c>
      <c r="R124">
        <v>63.047368421052632</v>
      </c>
      <c r="S124">
        <v>8.6899490356445313</v>
      </c>
    </row>
    <row r="125" spans="1:19" x14ac:dyDescent="0.3">
      <c r="A125">
        <v>122</v>
      </c>
      <c r="D125">
        <v>63.568421052631578</v>
      </c>
      <c r="E125">
        <v>4.6960479570203075</v>
      </c>
      <c r="F125">
        <v>63.568421052631578</v>
      </c>
      <c r="G125">
        <v>6.4535870028279767</v>
      </c>
      <c r="H125">
        <v>63.568421052631578</v>
      </c>
      <c r="I125">
        <v>7.1748133010339066</v>
      </c>
      <c r="J125">
        <v>63.568421052631578</v>
      </c>
      <c r="K125">
        <v>7.6093278371509641</v>
      </c>
      <c r="L125">
        <v>63.568421052631578</v>
      </c>
      <c r="M125">
        <v>7.9257578124075785</v>
      </c>
      <c r="N125">
        <v>63.568421052631578</v>
      </c>
      <c r="O125">
        <v>8.1850708060698789</v>
      </c>
      <c r="P125">
        <v>63.568421052631578</v>
      </c>
      <c r="Q125">
        <v>8.4039403992093256</v>
      </c>
      <c r="R125">
        <v>63.568421052631578</v>
      </c>
      <c r="S125">
        <v>8.603297233581543</v>
      </c>
    </row>
    <row r="126" spans="1:19" x14ac:dyDescent="0.3">
      <c r="A126">
        <v>123</v>
      </c>
      <c r="D126">
        <v>64.089473684210532</v>
      </c>
      <c r="E126">
        <v>4.6339113069238866</v>
      </c>
      <c r="F126">
        <v>64.089473684210532</v>
      </c>
      <c r="G126">
        <v>6.378325311231313</v>
      </c>
      <c r="H126">
        <v>64.089473684210532</v>
      </c>
      <c r="I126">
        <v>7.09609909385237</v>
      </c>
      <c r="J126">
        <v>64.089473684210532</v>
      </c>
      <c r="K126">
        <v>7.5285535553034029</v>
      </c>
      <c r="L126">
        <v>64.089473684210532</v>
      </c>
      <c r="M126">
        <v>7.843175554855768</v>
      </c>
      <c r="N126">
        <v>64.089473684210532</v>
      </c>
      <c r="O126">
        <v>8.1006864164831462</v>
      </c>
      <c r="P126">
        <v>64.089473684210532</v>
      </c>
      <c r="Q126">
        <v>8.3177549383780232</v>
      </c>
      <c r="R126">
        <v>64.089473684210532</v>
      </c>
      <c r="S126">
        <v>8.5152111053466797</v>
      </c>
    </row>
    <row r="127" spans="1:19" x14ac:dyDescent="0.3">
      <c r="A127">
        <v>124</v>
      </c>
      <c r="D127">
        <v>64.610526315789471</v>
      </c>
      <c r="E127">
        <v>4.5358651200981512</v>
      </c>
      <c r="F127">
        <v>64.610526315789471</v>
      </c>
      <c r="G127">
        <v>6.3021797526658192</v>
      </c>
      <c r="H127">
        <v>64.610526315789471</v>
      </c>
      <c r="I127">
        <v>7.0162941328293833</v>
      </c>
      <c r="J127">
        <v>64.610526315789471</v>
      </c>
      <c r="K127">
        <v>7.4465595797944797</v>
      </c>
      <c r="L127">
        <v>64.610526315789471</v>
      </c>
      <c r="M127">
        <v>7.7592846562029001</v>
      </c>
      <c r="N127">
        <v>64.610526315789471</v>
      </c>
      <c r="O127">
        <v>8.0149267694824324</v>
      </c>
      <c r="P127">
        <v>64.610526315789471</v>
      </c>
      <c r="Q127">
        <v>8.2301438129875955</v>
      </c>
      <c r="R127">
        <v>64.610526315789471</v>
      </c>
      <c r="S127">
        <v>8.4256591796875</v>
      </c>
    </row>
    <row r="128" spans="1:19" x14ac:dyDescent="0.3">
      <c r="A128">
        <v>125</v>
      </c>
      <c r="D128">
        <v>65.131578947368425</v>
      </c>
      <c r="E128">
        <v>4.4730972713668464</v>
      </c>
      <c r="F128">
        <v>65.131578947368425</v>
      </c>
      <c r="G128">
        <v>6.2251335967750485</v>
      </c>
      <c r="H128">
        <v>65.131578947368425</v>
      </c>
      <c r="I128">
        <v>6.935386214382568</v>
      </c>
      <c r="J128">
        <v>65.131578947368425</v>
      </c>
      <c r="K128">
        <v>7.3633418222613152</v>
      </c>
      <c r="L128">
        <v>65.131578947368425</v>
      </c>
      <c r="M128">
        <v>7.6740883727538112</v>
      </c>
      <c r="N128">
        <v>65.131578947368425</v>
      </c>
      <c r="O128">
        <v>7.9278006408522073</v>
      </c>
      <c r="P128">
        <v>65.131578947368425</v>
      </c>
      <c r="Q128">
        <v>8.1411201717972368</v>
      </c>
      <c r="R128">
        <v>65.131578947368425</v>
      </c>
      <c r="S128">
        <v>8.3346576690673828</v>
      </c>
    </row>
    <row r="129" spans="1:19" x14ac:dyDescent="0.3">
      <c r="A129">
        <v>126</v>
      </c>
      <c r="D129">
        <v>65.652631578947364</v>
      </c>
      <c r="E129">
        <v>4.3748493496360048</v>
      </c>
      <c r="F129">
        <v>65.652631578947364</v>
      </c>
      <c r="G129">
        <v>6.1274915098348295</v>
      </c>
      <c r="H129">
        <v>65.652631578947364</v>
      </c>
      <c r="I129">
        <v>6.8379888316862321</v>
      </c>
      <c r="J129">
        <v>65.652631578947364</v>
      </c>
      <c r="K129">
        <v>7.2789167629876381</v>
      </c>
      <c r="L129">
        <v>65.652631578947364</v>
      </c>
      <c r="M129">
        <v>7.5876000542658506</v>
      </c>
      <c r="N129">
        <v>65.652631578947364</v>
      </c>
      <c r="O129">
        <v>7.8393205439043179</v>
      </c>
      <c r="P129">
        <v>65.652631578947364</v>
      </c>
      <c r="Q129">
        <v>8.050695929048878</v>
      </c>
      <c r="R129">
        <v>65.652631578947364</v>
      </c>
      <c r="S129">
        <v>8.242218017578125</v>
      </c>
    </row>
    <row r="130" spans="1:19" x14ac:dyDescent="0.3">
      <c r="A130">
        <v>127</v>
      </c>
      <c r="D130">
        <v>66.173684210526318</v>
      </c>
      <c r="E130">
        <v>4.3115325595235756</v>
      </c>
      <c r="F130">
        <v>66.173684210526318</v>
      </c>
      <c r="G130">
        <v>6.0488297301611649</v>
      </c>
      <c r="H130">
        <v>66.173684210526318</v>
      </c>
      <c r="I130">
        <v>6.75500320374484</v>
      </c>
      <c r="J130">
        <v>66.173684210526318</v>
      </c>
      <c r="K130">
        <v>7.1791797033556382</v>
      </c>
      <c r="L130">
        <v>66.173684210526318</v>
      </c>
      <c r="M130">
        <v>7.4998114248421412</v>
      </c>
      <c r="N130">
        <v>66.173684210526318</v>
      </c>
      <c r="O130">
        <v>7.7494766469675653</v>
      </c>
      <c r="P130">
        <v>66.173684210526318</v>
      </c>
      <c r="Q130">
        <v>7.9588612376053813</v>
      </c>
      <c r="R130">
        <v>66.173684210526318</v>
      </c>
      <c r="S130">
        <v>8.1483325958251953</v>
      </c>
    </row>
    <row r="131" spans="1:19" x14ac:dyDescent="0.3">
      <c r="A131">
        <v>128</v>
      </c>
      <c r="D131">
        <v>66.694736842105257</v>
      </c>
      <c r="E131">
        <v>4.213202687410833</v>
      </c>
      <c r="F131">
        <v>66.694736842105257</v>
      </c>
      <c r="G131">
        <v>5.9693132761366483</v>
      </c>
      <c r="H131">
        <v>66.694736842105257</v>
      </c>
      <c r="I131">
        <v>6.6709537906347105</v>
      </c>
      <c r="J131">
        <v>66.694736842105257</v>
      </c>
      <c r="K131">
        <v>7.0924423234898049</v>
      </c>
      <c r="L131">
        <v>66.694736842105257</v>
      </c>
      <c r="M131">
        <v>7.410745194623293</v>
      </c>
      <c r="N131">
        <v>66.694736842105257</v>
      </c>
      <c r="O131">
        <v>7.658294039603847</v>
      </c>
      <c r="P131">
        <v>66.694736842105257</v>
      </c>
      <c r="Q131">
        <v>7.865642821231809</v>
      </c>
      <c r="R131">
        <v>66.694736842105257</v>
      </c>
      <c r="S131">
        <v>8.0530281066894531</v>
      </c>
    </row>
    <row r="132" spans="1:19" x14ac:dyDescent="0.3">
      <c r="A132">
        <v>129</v>
      </c>
      <c r="D132">
        <v>67.215789473684211</v>
      </c>
      <c r="E132">
        <v>4.1149291841345441</v>
      </c>
      <c r="F132">
        <v>67.215789473684211</v>
      </c>
      <c r="G132">
        <v>5.8695032350182217</v>
      </c>
      <c r="H132">
        <v>67.215789473684211</v>
      </c>
      <c r="I132">
        <v>6.5858564201611305</v>
      </c>
      <c r="J132">
        <v>67.215789473684211</v>
      </c>
      <c r="K132">
        <v>7.0045249668585727</v>
      </c>
      <c r="L132">
        <v>67.215789473684211</v>
      </c>
      <c r="M132">
        <v>7.3204037293573396</v>
      </c>
      <c r="N132">
        <v>67.215789473684211</v>
      </c>
      <c r="O132">
        <v>7.5657677292789671</v>
      </c>
      <c r="P132">
        <v>67.215789473684211</v>
      </c>
      <c r="Q132">
        <v>7.77102847250754</v>
      </c>
      <c r="R132">
        <v>67.215789473684211</v>
      </c>
      <c r="S132">
        <v>7.9562854766845703</v>
      </c>
    </row>
    <row r="133" spans="1:19" x14ac:dyDescent="0.3">
      <c r="A133">
        <v>130</v>
      </c>
      <c r="D133">
        <v>67.736842105263165</v>
      </c>
      <c r="E133">
        <v>4.0167501947615012</v>
      </c>
      <c r="F133">
        <v>67.736842105263165</v>
      </c>
      <c r="G133">
        <v>5.7884495536623382</v>
      </c>
      <c r="H133">
        <v>67.736842105263165</v>
      </c>
      <c r="I133">
        <v>6.4996937098296268</v>
      </c>
      <c r="J133">
        <v>67.736842105263165</v>
      </c>
      <c r="K133">
        <v>6.915419288412795</v>
      </c>
      <c r="L133">
        <v>67.736842105263165</v>
      </c>
      <c r="M133">
        <v>7.2152758035278</v>
      </c>
      <c r="N133">
        <v>67.736842105263165</v>
      </c>
      <c r="O133">
        <v>7.4719191704113559</v>
      </c>
      <c r="P133">
        <v>67.736842105263165</v>
      </c>
      <c r="Q133">
        <v>7.675055870428805</v>
      </c>
      <c r="R133">
        <v>67.736842105263165</v>
      </c>
      <c r="S133">
        <v>7.8581595420837402</v>
      </c>
    </row>
    <row r="134" spans="1:19" x14ac:dyDescent="0.3">
      <c r="A134">
        <v>131</v>
      </c>
      <c r="D134">
        <v>68.257894736842104</v>
      </c>
      <c r="E134">
        <v>3.9187349403295704</v>
      </c>
      <c r="F134">
        <v>68.257894736842104</v>
      </c>
      <c r="G134">
        <v>5.7065974226526226</v>
      </c>
      <c r="H134">
        <v>68.257894736842104</v>
      </c>
      <c r="I134">
        <v>6.397529366968322</v>
      </c>
      <c r="J134">
        <v>68.257894736842104</v>
      </c>
      <c r="K134">
        <v>6.8251557523895361</v>
      </c>
      <c r="L134">
        <v>68.257894736842104</v>
      </c>
      <c r="M134">
        <v>7.1225304427321321</v>
      </c>
      <c r="N134">
        <v>68.257894736842104</v>
      </c>
      <c r="O134">
        <v>7.3767476141855557</v>
      </c>
      <c r="P134">
        <v>68.257894736842104</v>
      </c>
      <c r="Q134">
        <v>7.5777083025469931</v>
      </c>
      <c r="R134">
        <v>68.257894736842104</v>
      </c>
      <c r="S134">
        <v>7.7586169242858887</v>
      </c>
    </row>
    <row r="135" spans="1:19" x14ac:dyDescent="0.3">
      <c r="A135">
        <v>132</v>
      </c>
      <c r="D135">
        <v>68.778947368421058</v>
      </c>
      <c r="E135">
        <v>3.8209129962677935</v>
      </c>
      <c r="F135">
        <v>68.778947368421058</v>
      </c>
      <c r="G135">
        <v>5.6048055260476648</v>
      </c>
      <c r="H135">
        <v>68.778947368421058</v>
      </c>
      <c r="I135">
        <v>6.3094331062547457</v>
      </c>
      <c r="J135">
        <v>68.778947368421058</v>
      </c>
      <c r="K135">
        <v>6.7337420926591625</v>
      </c>
      <c r="L135">
        <v>68.778947368421058</v>
      </c>
      <c r="M135">
        <v>7.0285521943664442</v>
      </c>
      <c r="N135">
        <v>68.778947368421058</v>
      </c>
      <c r="O135">
        <v>7.2802804096948961</v>
      </c>
      <c r="P135">
        <v>68.778947368421058</v>
      </c>
      <c r="Q135">
        <v>7.4790227353471499</v>
      </c>
      <c r="R135">
        <v>68.778947368421058</v>
      </c>
      <c r="S135">
        <v>7.6577048301696777</v>
      </c>
    </row>
    <row r="136" spans="1:19" x14ac:dyDescent="0.3">
      <c r="A136">
        <v>133</v>
      </c>
      <c r="D136">
        <v>69.3</v>
      </c>
      <c r="E136">
        <v>3.7233306688580736</v>
      </c>
      <c r="F136">
        <v>69.3</v>
      </c>
      <c r="G136">
        <v>5.5215181358962333</v>
      </c>
      <c r="H136">
        <v>69.3</v>
      </c>
      <c r="I136">
        <v>6.2203193482859813</v>
      </c>
      <c r="J136">
        <v>69.3</v>
      </c>
      <c r="K136">
        <v>6.6276828589815757</v>
      </c>
      <c r="L136">
        <v>69.3</v>
      </c>
      <c r="M136">
        <v>6.9333266824194695</v>
      </c>
      <c r="N136">
        <v>69.3</v>
      </c>
      <c r="O136">
        <v>7.1693959278782389</v>
      </c>
      <c r="P136">
        <v>69.3</v>
      </c>
      <c r="Q136">
        <v>7.3789701629288054</v>
      </c>
      <c r="R136">
        <v>69.3</v>
      </c>
      <c r="S136">
        <v>7.555387020111084</v>
      </c>
    </row>
    <row r="137" spans="1:19" x14ac:dyDescent="0.3">
      <c r="A137">
        <v>134</v>
      </c>
      <c r="D137">
        <v>69.821052631578951</v>
      </c>
      <c r="E137">
        <v>3.6260456369673193</v>
      </c>
      <c r="F137">
        <v>69.821052631578951</v>
      </c>
      <c r="G137">
        <v>5.4185407951193287</v>
      </c>
      <c r="H137">
        <v>69.821052631578951</v>
      </c>
      <c r="I137">
        <v>6.1302230096399652</v>
      </c>
      <c r="J137">
        <v>69.821052631578951</v>
      </c>
      <c r="K137">
        <v>6.5341146849681788</v>
      </c>
      <c r="L137">
        <v>69.821052631578951</v>
      </c>
      <c r="M137">
        <v>6.8368944547046375</v>
      </c>
      <c r="N137">
        <v>69.821052631578951</v>
      </c>
      <c r="O137">
        <v>7.0704819872038751</v>
      </c>
      <c r="P137">
        <v>69.821052631578951</v>
      </c>
      <c r="Q137">
        <v>7.2775944214916048</v>
      </c>
      <c r="R137">
        <v>69.821052631578951</v>
      </c>
      <c r="S137">
        <v>7.4517087936401367</v>
      </c>
    </row>
    <row r="138" spans="1:19" x14ac:dyDescent="0.3">
      <c r="A138">
        <v>135</v>
      </c>
      <c r="D138">
        <v>70.34210526315789</v>
      </c>
      <c r="E138">
        <v>3.5291098556127785</v>
      </c>
      <c r="F138">
        <v>70.34210526315789</v>
      </c>
      <c r="G138">
        <v>5.3339100470230809</v>
      </c>
      <c r="H138">
        <v>70.34210526315789</v>
      </c>
      <c r="I138">
        <v>6.0245724407896288</v>
      </c>
      <c r="J138">
        <v>70.34210526315789</v>
      </c>
      <c r="K138">
        <v>6.4394202366827145</v>
      </c>
      <c r="L138">
        <v>70.34210526315789</v>
      </c>
      <c r="M138">
        <v>6.7392469908151194</v>
      </c>
      <c r="N138">
        <v>70.34210526315789</v>
      </c>
      <c r="O138">
        <v>6.9702939234888266</v>
      </c>
      <c r="P138">
        <v>70.34210526315789</v>
      </c>
      <c r="Q138">
        <v>7.174901101556447</v>
      </c>
      <c r="R138">
        <v>70.34210526315789</v>
      </c>
      <c r="S138">
        <v>7.3466839790344238</v>
      </c>
    </row>
    <row r="139" spans="1:19" x14ac:dyDescent="0.3">
      <c r="A139">
        <v>136</v>
      </c>
      <c r="D139">
        <v>70.863157894736844</v>
      </c>
      <c r="E139">
        <v>3.3989297764185991</v>
      </c>
      <c r="F139">
        <v>70.863157894736844</v>
      </c>
      <c r="G139">
        <v>5.2298613138874659</v>
      </c>
      <c r="H139">
        <v>70.863157894736844</v>
      </c>
      <c r="I139">
        <v>5.9326584369544033</v>
      </c>
      <c r="J139">
        <v>70.863157894736844</v>
      </c>
      <c r="K139">
        <v>6.3436308456563912</v>
      </c>
      <c r="L139">
        <v>70.863157894736844</v>
      </c>
      <c r="M139">
        <v>6.6404062063907761</v>
      </c>
      <c r="N139">
        <v>70.863157894736844</v>
      </c>
      <c r="O139">
        <v>6.8688434480317513</v>
      </c>
      <c r="P139">
        <v>70.863157894736844</v>
      </c>
      <c r="Q139">
        <v>7.0708912064687652</v>
      </c>
      <c r="R139">
        <v>70.863157894736844</v>
      </c>
      <c r="S139">
        <v>7.2403039932250977</v>
      </c>
    </row>
    <row r="140" spans="1:19" x14ac:dyDescent="0.3">
      <c r="A140">
        <v>137</v>
      </c>
      <c r="D140">
        <v>71.384210526315783</v>
      </c>
      <c r="E140">
        <v>3.3030708517347311</v>
      </c>
      <c r="F140">
        <v>71.384210526315783</v>
      </c>
      <c r="G140">
        <v>5.1439780332378024</v>
      </c>
      <c r="H140">
        <v>71.384210526315783</v>
      </c>
      <c r="I140">
        <v>5.8398012566311959</v>
      </c>
      <c r="J140">
        <v>71.384210526315783</v>
      </c>
      <c r="K140">
        <v>6.2467703362360485</v>
      </c>
      <c r="L140">
        <v>71.384210526315783</v>
      </c>
      <c r="M140">
        <v>6.5404091584307995</v>
      </c>
      <c r="N140">
        <v>71.384210526315783</v>
      </c>
      <c r="O140">
        <v>6.7661755388886746</v>
      </c>
      <c r="P140">
        <v>71.384210526315783</v>
      </c>
      <c r="Q140">
        <v>6.9656128605229064</v>
      </c>
      <c r="R140">
        <v>71.384210526315783</v>
      </c>
      <c r="S140">
        <v>7.1326141357421875</v>
      </c>
    </row>
    <row r="141" spans="1:19" x14ac:dyDescent="0.3">
      <c r="A141">
        <v>138</v>
      </c>
      <c r="D141">
        <v>71.905263157894737</v>
      </c>
      <c r="E141">
        <v>3.1743035056932181</v>
      </c>
      <c r="F141">
        <v>71.905263157894737</v>
      </c>
      <c r="G141">
        <v>5.0389747109400496</v>
      </c>
      <c r="H141">
        <v>71.905263157894737</v>
      </c>
      <c r="I141">
        <v>5.7317974660502884</v>
      </c>
      <c r="J141">
        <v>71.905263157894737</v>
      </c>
      <c r="K141">
        <v>6.1359484261442896</v>
      </c>
      <c r="L141">
        <v>71.905263157894737</v>
      </c>
      <c r="M141">
        <v>6.4267615348267331</v>
      </c>
      <c r="N141">
        <v>71.905263157894737</v>
      </c>
      <c r="O141">
        <v>6.6622552500182843</v>
      </c>
      <c r="P141">
        <v>71.905263157894737</v>
      </c>
      <c r="Q141">
        <v>6.8590371919319946</v>
      </c>
      <c r="R141">
        <v>71.905263157894737</v>
      </c>
      <c r="S141">
        <v>7.0236015319824219</v>
      </c>
    </row>
    <row r="142" spans="1:19" x14ac:dyDescent="0.3">
      <c r="A142">
        <v>139</v>
      </c>
      <c r="D142">
        <v>72.426315789473691</v>
      </c>
      <c r="E142">
        <v>3.0463817891564418</v>
      </c>
      <c r="F142">
        <v>72.426315789473691</v>
      </c>
      <c r="G142">
        <v>4.9335853796932749</v>
      </c>
      <c r="H142">
        <v>72.426315789473691</v>
      </c>
      <c r="I142">
        <v>5.6372507421906883</v>
      </c>
      <c r="J142">
        <v>72.426315789473691</v>
      </c>
      <c r="K142">
        <v>6.0371062220531453</v>
      </c>
      <c r="L142">
        <v>72.426315789473691</v>
      </c>
      <c r="M142">
        <v>6.3246004707946311</v>
      </c>
      <c r="N142">
        <v>72.426315789473691</v>
      </c>
      <c r="O142">
        <v>6.5571452786425874</v>
      </c>
      <c r="P142">
        <v>72.426315789473691</v>
      </c>
      <c r="Q142">
        <v>6.7512211560905708</v>
      </c>
      <c r="R142">
        <v>72.426315789473691</v>
      </c>
      <c r="S142">
        <v>6.9133110046386719</v>
      </c>
    </row>
    <row r="143" spans="1:19" x14ac:dyDescent="0.3">
      <c r="A143">
        <v>140</v>
      </c>
      <c r="D143">
        <v>72.94736842105263</v>
      </c>
      <c r="E143">
        <v>2.9194166054624509</v>
      </c>
      <c r="F143">
        <v>72.94736842105263</v>
      </c>
      <c r="G143">
        <v>4.8460975789928362</v>
      </c>
      <c r="H143">
        <v>72.94736842105263</v>
      </c>
      <c r="I143">
        <v>5.5418058826324685</v>
      </c>
      <c r="J143">
        <v>72.94736842105263</v>
      </c>
      <c r="K143">
        <v>5.9372294292150656</v>
      </c>
      <c r="L143">
        <v>72.94736842105263</v>
      </c>
      <c r="M143">
        <v>6.2213151895891166</v>
      </c>
      <c r="N143">
        <v>72.94736842105263</v>
      </c>
      <c r="O143">
        <v>6.4508490766005169</v>
      </c>
      <c r="P143">
        <v>72.94736842105263</v>
      </c>
      <c r="Q143">
        <v>6.642177268235721</v>
      </c>
      <c r="R143">
        <v>72.94736842105263</v>
      </c>
      <c r="S143">
        <v>6.8017673492431641</v>
      </c>
    </row>
    <row r="144" spans="1:19" x14ac:dyDescent="0.3">
      <c r="A144">
        <v>141</v>
      </c>
      <c r="D144">
        <v>73.468421052631584</v>
      </c>
      <c r="E144">
        <v>2.7935487957966649</v>
      </c>
      <c r="F144">
        <v>73.468421052631584</v>
      </c>
      <c r="G144">
        <v>4.739955733490465</v>
      </c>
      <c r="H144">
        <v>73.468421052631584</v>
      </c>
      <c r="I144">
        <v>5.431694750887325</v>
      </c>
      <c r="J144">
        <v>73.468421052631584</v>
      </c>
      <c r="K144">
        <v>5.8363569885033515</v>
      </c>
      <c r="L144">
        <v>73.468421052631584</v>
      </c>
      <c r="M144">
        <v>6.1169393317010154</v>
      </c>
      <c r="N144">
        <v>73.468421052631584</v>
      </c>
      <c r="O144">
        <v>6.3433906183630366</v>
      </c>
      <c r="P144">
        <v>73.468421052631584</v>
      </c>
      <c r="Q144">
        <v>6.5319158161294553</v>
      </c>
      <c r="R144">
        <v>73.468421052631584</v>
      </c>
      <c r="S144">
        <v>6.6889629364013672</v>
      </c>
    </row>
    <row r="145" spans="1:19" x14ac:dyDescent="0.3">
      <c r="A145">
        <v>142</v>
      </c>
      <c r="D145">
        <v>73.989473684210523</v>
      </c>
      <c r="E145">
        <v>2.6354174733830034</v>
      </c>
      <c r="F145">
        <v>73.989473684210523</v>
      </c>
      <c r="G145">
        <v>4.633536101194375</v>
      </c>
      <c r="H145">
        <v>73.989473684210523</v>
      </c>
      <c r="I145">
        <v>5.3346957030116915</v>
      </c>
      <c r="J145">
        <v>73.989473684210523</v>
      </c>
      <c r="K145">
        <v>5.722169441613671</v>
      </c>
      <c r="L145">
        <v>73.989473684210523</v>
      </c>
      <c r="M145">
        <v>6.0114688041071869</v>
      </c>
      <c r="N145">
        <v>73.989473684210523</v>
      </c>
      <c r="O145">
        <v>6.2347764287737313</v>
      </c>
      <c r="P145">
        <v>73.989473684210523</v>
      </c>
      <c r="Q145">
        <v>6.4204581206159386</v>
      </c>
      <c r="R145">
        <v>73.989473684210523</v>
      </c>
      <c r="S145">
        <v>6.5749378204345703</v>
      </c>
    </row>
    <row r="146" spans="1:19" x14ac:dyDescent="0.3">
      <c r="A146">
        <v>143</v>
      </c>
      <c r="D146">
        <v>74.510526315789477</v>
      </c>
      <c r="E146">
        <v>2.5122266384367524</v>
      </c>
      <c r="F146">
        <v>74.510526315789477</v>
      </c>
      <c r="G146">
        <v>4.5268853342413191</v>
      </c>
      <c r="H146">
        <v>74.510526315789477</v>
      </c>
      <c r="I146">
        <v>5.2233365232524385</v>
      </c>
      <c r="J146">
        <v>74.510526315789477</v>
      </c>
      <c r="K146">
        <v>5.6194840689014756</v>
      </c>
      <c r="L146">
        <v>74.510526315789477</v>
      </c>
      <c r="M146">
        <v>5.8932408446208546</v>
      </c>
      <c r="N146">
        <v>74.510526315789477</v>
      </c>
      <c r="O146">
        <v>6.1250218929334714</v>
      </c>
      <c r="P146">
        <v>74.510526315789477</v>
      </c>
      <c r="Q146">
        <v>6.3078030436569605</v>
      </c>
      <c r="R146">
        <v>74.510526315789477</v>
      </c>
      <c r="S146">
        <v>6.4596724510192871</v>
      </c>
    </row>
    <row r="147" spans="1:19" x14ac:dyDescent="0.3">
      <c r="A147">
        <v>144</v>
      </c>
      <c r="D147">
        <v>75.031578947368416</v>
      </c>
      <c r="E147">
        <v>2.3570796645458962</v>
      </c>
      <c r="F147">
        <v>75.031578947368416</v>
      </c>
      <c r="G147">
        <v>4.4200489564857479</v>
      </c>
      <c r="H147">
        <v>75.031578947368416</v>
      </c>
      <c r="I147">
        <v>5.1248951862230498</v>
      </c>
      <c r="J147">
        <v>75.031578947368416</v>
      </c>
      <c r="K147">
        <v>5.5158710658413419</v>
      </c>
      <c r="L147">
        <v>75.031578947368416</v>
      </c>
      <c r="M147">
        <v>5.7858568831984636</v>
      </c>
      <c r="N147">
        <v>75.031578947368416</v>
      </c>
      <c r="O147">
        <v>6.0028738704876936</v>
      </c>
      <c r="P147">
        <v>75.031578947368416</v>
      </c>
      <c r="Q147">
        <v>6.1940405962829974</v>
      </c>
      <c r="R147">
        <v>75.031578947368416</v>
      </c>
      <c r="S147">
        <v>6.3432788848876953</v>
      </c>
    </row>
    <row r="148" spans="1:19" x14ac:dyDescent="0.3">
      <c r="A148">
        <v>145</v>
      </c>
      <c r="D148">
        <v>75.55263157894737</v>
      </c>
      <c r="E148">
        <v>2.1699789077890705</v>
      </c>
      <c r="F148">
        <v>75.55263157894737</v>
      </c>
      <c r="G148">
        <v>4.3130657339732288</v>
      </c>
      <c r="H148">
        <v>75.55263157894737</v>
      </c>
      <c r="I148">
        <v>5.0124165262378311</v>
      </c>
      <c r="J148">
        <v>75.55263157894737</v>
      </c>
      <c r="K148">
        <v>5.3994654805791846</v>
      </c>
      <c r="L148">
        <v>75.55263157894737</v>
      </c>
      <c r="M148">
        <v>5.677439453337402</v>
      </c>
      <c r="N148">
        <v>75.55263157894737</v>
      </c>
      <c r="O148">
        <v>5.8911274209082674</v>
      </c>
      <c r="P148">
        <v>75.55263157894737</v>
      </c>
      <c r="Q148">
        <v>6.068163668380878</v>
      </c>
      <c r="R148">
        <v>75.55263157894737</v>
      </c>
      <c r="S148">
        <v>6.2257099151611328</v>
      </c>
    </row>
    <row r="149" spans="1:19" x14ac:dyDescent="0.3">
      <c r="A149">
        <v>146</v>
      </c>
      <c r="D149">
        <v>76.073684210526309</v>
      </c>
      <c r="E149">
        <v>2.0185964278345567</v>
      </c>
      <c r="F149">
        <v>76.073684210526309</v>
      </c>
      <c r="G149">
        <v>4.2059916600732832</v>
      </c>
      <c r="H149">
        <v>76.073684210526309</v>
      </c>
      <c r="I149">
        <v>4.8995040970975623</v>
      </c>
      <c r="J149">
        <v>76.073684210526309</v>
      </c>
      <c r="K149">
        <v>5.294196385604975</v>
      </c>
      <c r="L149">
        <v>76.073684210526309</v>
      </c>
      <c r="M149">
        <v>5.5680396377894272</v>
      </c>
      <c r="N149">
        <v>76.073684210526309</v>
      </c>
      <c r="O149">
        <v>5.7783271364125959</v>
      </c>
      <c r="P149">
        <v>76.073684210526309</v>
      </c>
      <c r="Q149">
        <v>5.9523392726398221</v>
      </c>
      <c r="R149">
        <v>76.073684210526309</v>
      </c>
      <c r="S149">
        <v>6.1069912910461426</v>
      </c>
    </row>
    <row r="150" spans="1:19" x14ac:dyDescent="0.3">
      <c r="A150">
        <v>147</v>
      </c>
      <c r="D150">
        <v>76.594736842105263</v>
      </c>
      <c r="E150">
        <v>1.8014461741441949</v>
      </c>
      <c r="F150">
        <v>76.594736842105263</v>
      </c>
      <c r="G150">
        <v>4.0988818651383827</v>
      </c>
      <c r="H150">
        <v>76.594736842105263</v>
      </c>
      <c r="I150">
        <v>4.7991934576960924</v>
      </c>
      <c r="J150">
        <v>76.594736842105263</v>
      </c>
      <c r="K150">
        <v>5.1880692455940309</v>
      </c>
      <c r="L150">
        <v>76.594736842105263</v>
      </c>
      <c r="M150">
        <v>5.4576857724872934</v>
      </c>
      <c r="N150">
        <v>76.594736842105263</v>
      </c>
      <c r="O150">
        <v>5.6645104363547549</v>
      </c>
      <c r="P150">
        <v>76.594736842105263</v>
      </c>
      <c r="Q150">
        <v>5.8354581452438072</v>
      </c>
      <c r="R150">
        <v>76.594736842105263</v>
      </c>
      <c r="S150">
        <v>5.9871907234191895</v>
      </c>
    </row>
    <row r="151" spans="1:19" x14ac:dyDescent="0.3">
      <c r="A151">
        <v>148</v>
      </c>
      <c r="D151">
        <v>77.115789473684217</v>
      </c>
      <c r="E151">
        <v>1.6208293415041886</v>
      </c>
      <c r="F151">
        <v>77.115789473684217</v>
      </c>
      <c r="G151">
        <v>3.9917737554028561</v>
      </c>
      <c r="H151">
        <v>77.115789473684217</v>
      </c>
      <c r="I151">
        <v>4.6853969513541731</v>
      </c>
      <c r="J151">
        <v>77.115789473684217</v>
      </c>
      <c r="K151">
        <v>5.0697495620408812</v>
      </c>
      <c r="L151">
        <v>77.115789473684217</v>
      </c>
      <c r="M151">
        <v>5.3355637361237287</v>
      </c>
      <c r="N151">
        <v>77.115789473684217</v>
      </c>
      <c r="O151">
        <v>5.5496856110099717</v>
      </c>
      <c r="P151">
        <v>77.115789473684217</v>
      </c>
      <c r="Q151">
        <v>5.7175091841803862</v>
      </c>
      <c r="R151">
        <v>77.115789473684217</v>
      </c>
      <c r="S151">
        <v>5.866269588470459</v>
      </c>
    </row>
    <row r="152" spans="1:19" x14ac:dyDescent="0.3">
      <c r="A152">
        <v>149</v>
      </c>
      <c r="D152">
        <v>77.636842105263156</v>
      </c>
      <c r="E152">
        <v>1.3739159347243053</v>
      </c>
      <c r="F152">
        <v>77.636842105263156</v>
      </c>
      <c r="G152">
        <v>3.867632156719675</v>
      </c>
      <c r="H152">
        <v>77.636842105263156</v>
      </c>
      <c r="I152">
        <v>4.5712607430185876</v>
      </c>
      <c r="J152">
        <v>77.636842105263156</v>
      </c>
      <c r="K152">
        <v>4.9621484979456891</v>
      </c>
      <c r="L152">
        <v>77.636842105263156</v>
      </c>
      <c r="M152">
        <v>5.223561408640176</v>
      </c>
      <c r="N152">
        <v>77.636842105263156</v>
      </c>
      <c r="O152">
        <v>5.4339199312499069</v>
      </c>
      <c r="P152">
        <v>77.636842105263156</v>
      </c>
      <c r="Q152">
        <v>5.59859969484922</v>
      </c>
      <c r="R152">
        <v>77.636842105263156</v>
      </c>
      <c r="S152">
        <v>5.7443861961364746</v>
      </c>
    </row>
    <row r="153" spans="1:19" x14ac:dyDescent="0.3">
      <c r="A153">
        <v>150</v>
      </c>
      <c r="D153">
        <v>78.15789473684211</v>
      </c>
      <c r="E153">
        <v>1.09431489893976</v>
      </c>
      <c r="F153">
        <v>78.15789473684211</v>
      </c>
      <c r="G153">
        <v>3.7608622193587911</v>
      </c>
      <c r="H153">
        <v>78.15789473684211</v>
      </c>
      <c r="I153">
        <v>4.4693684121030799</v>
      </c>
      <c r="J153">
        <v>78.15789473684211</v>
      </c>
      <c r="K153">
        <v>4.842757496619468</v>
      </c>
      <c r="L153">
        <v>78.15789473684211</v>
      </c>
      <c r="M153">
        <v>5.1106744213177171</v>
      </c>
      <c r="N153">
        <v>78.15789473684211</v>
      </c>
      <c r="O153">
        <v>5.3171889816336595</v>
      </c>
      <c r="P153">
        <v>78.15789473684211</v>
      </c>
      <c r="Q153">
        <v>5.4786675213182381</v>
      </c>
      <c r="R153">
        <v>78.15789473684211</v>
      </c>
      <c r="S153">
        <v>5.6214346885681152</v>
      </c>
    </row>
    <row r="154" spans="1:19" x14ac:dyDescent="0.3">
      <c r="A154">
        <v>151</v>
      </c>
      <c r="D154">
        <v>78.678947368421049</v>
      </c>
      <c r="E154">
        <v>0.67230527515551164</v>
      </c>
      <c r="F154">
        <v>78.678947368421049</v>
      </c>
      <c r="G154">
        <v>3.6374286377615306</v>
      </c>
      <c r="H154">
        <v>78.678947368421049</v>
      </c>
      <c r="I154">
        <v>4.3545796498326261</v>
      </c>
      <c r="J154">
        <v>78.678947368421049</v>
      </c>
      <c r="K154">
        <v>4.7338247293877931</v>
      </c>
      <c r="L154">
        <v>78.678947368421049</v>
      </c>
      <c r="M154">
        <v>4.9866704723168152</v>
      </c>
      <c r="N154">
        <v>78.678947368421049</v>
      </c>
      <c r="O154">
        <v>5.1895574422214565</v>
      </c>
      <c r="P154">
        <v>78.678947368421049</v>
      </c>
      <c r="Q154">
        <v>5.3577993079793043</v>
      </c>
      <c r="R154">
        <v>78.678947368421049</v>
      </c>
      <c r="S154">
        <v>5.4975204467773438</v>
      </c>
    </row>
    <row r="155" spans="1:19" x14ac:dyDescent="0.3">
      <c r="A155">
        <v>152</v>
      </c>
      <c r="F155">
        <v>79.2</v>
      </c>
      <c r="G155">
        <v>3.531180463319501</v>
      </c>
      <c r="H155">
        <v>79.2</v>
      </c>
      <c r="I155">
        <v>4.2395392035371353</v>
      </c>
      <c r="J155">
        <v>79.2</v>
      </c>
      <c r="K155">
        <v>4.6134543268880588</v>
      </c>
      <c r="L155">
        <v>79.2</v>
      </c>
      <c r="M155">
        <v>4.872263358289505</v>
      </c>
      <c r="N155">
        <v>79.2</v>
      </c>
      <c r="O155">
        <v>5.0711892652191697</v>
      </c>
      <c r="P155">
        <v>79.2</v>
      </c>
      <c r="Q155">
        <v>5.2359523263082792</v>
      </c>
      <c r="R155">
        <v>79.2</v>
      </c>
      <c r="S155">
        <v>5.3726058006286621</v>
      </c>
    </row>
    <row r="156" spans="1:19" x14ac:dyDescent="0.3">
      <c r="A156">
        <v>153</v>
      </c>
      <c r="F156">
        <v>79.721052631578942</v>
      </c>
      <c r="G156">
        <v>3.408745764538601</v>
      </c>
      <c r="H156">
        <v>79.721052631578942</v>
      </c>
      <c r="I156">
        <v>4.1243924589232268</v>
      </c>
      <c r="J156">
        <v>79.721052631578942</v>
      </c>
      <c r="K156">
        <v>4.5032886586996685</v>
      </c>
      <c r="L156">
        <v>79.721052631578942</v>
      </c>
      <c r="M156">
        <v>4.7571069230038452</v>
      </c>
      <c r="N156">
        <v>79.721052631578942</v>
      </c>
      <c r="O156">
        <v>4.9519963474260846</v>
      </c>
      <c r="P156">
        <v>79.721052631578942</v>
      </c>
      <c r="Q156">
        <v>5.1132219982190126</v>
      </c>
      <c r="R156">
        <v>79.721052631578942</v>
      </c>
      <c r="S156">
        <v>5.246762752532959</v>
      </c>
    </row>
    <row r="157" spans="1:19" x14ac:dyDescent="0.3">
      <c r="A157">
        <v>154</v>
      </c>
      <c r="F157">
        <v>80.242105263157896</v>
      </c>
      <c r="G157">
        <v>3.286926773415467</v>
      </c>
      <c r="H157">
        <v>80.242105263157896</v>
      </c>
      <c r="I157">
        <v>4.0091050976409797</v>
      </c>
      <c r="J157">
        <v>80.242105263157896</v>
      </c>
      <c r="K157">
        <v>4.3821631868289899</v>
      </c>
      <c r="L157">
        <v>80.242105263157896</v>
      </c>
      <c r="M157">
        <v>4.6411801887670894</v>
      </c>
      <c r="N157">
        <v>80.242105263157896</v>
      </c>
      <c r="O157">
        <v>4.8319763794223984</v>
      </c>
      <c r="P157">
        <v>80.242105263157896</v>
      </c>
      <c r="Q157">
        <v>4.9896281769901236</v>
      </c>
      <c r="R157">
        <v>80.242105263157896</v>
      </c>
      <c r="S157">
        <v>5.1200356483459473</v>
      </c>
    </row>
    <row r="158" spans="1:19" x14ac:dyDescent="0.3">
      <c r="A158">
        <v>155</v>
      </c>
      <c r="F158">
        <v>80.763157894736835</v>
      </c>
      <c r="G158">
        <v>3.1658793136746368</v>
      </c>
      <c r="H158">
        <v>80.763157894736835</v>
      </c>
      <c r="I158">
        <v>3.8937645157011476</v>
      </c>
      <c r="J158">
        <v>80.763157894736835</v>
      </c>
      <c r="K158">
        <v>4.2708967639175555</v>
      </c>
      <c r="L158">
        <v>80.763157894736835</v>
      </c>
      <c r="M158">
        <v>4.515037981146838</v>
      </c>
      <c r="N158">
        <v>80.763157894736835</v>
      </c>
      <c r="O158">
        <v>4.7111812162205657</v>
      </c>
      <c r="P158">
        <v>80.763157894736835</v>
      </c>
      <c r="Q158">
        <v>4.8652298964639105</v>
      </c>
      <c r="R158">
        <v>80.763157894736835</v>
      </c>
      <c r="S158">
        <v>4.9924955368041992</v>
      </c>
    </row>
    <row r="159" spans="1:19" x14ac:dyDescent="0.3">
      <c r="A159">
        <v>156</v>
      </c>
      <c r="F159">
        <v>81.284210526315789</v>
      </c>
      <c r="G159">
        <v>3.0456808999385236</v>
      </c>
      <c r="H159">
        <v>81.284210526315789</v>
      </c>
      <c r="I159">
        <v>3.7784121999343458</v>
      </c>
      <c r="J159">
        <v>81.284210526315789</v>
      </c>
      <c r="K159">
        <v>4.1491568388026749</v>
      </c>
      <c r="L159">
        <v>81.284210526315789</v>
      </c>
      <c r="M159">
        <v>4.3979164687114949</v>
      </c>
      <c r="N159">
        <v>81.284210526315789</v>
      </c>
      <c r="O159">
        <v>4.5806597091625019</v>
      </c>
      <c r="P159">
        <v>81.284210526315789</v>
      </c>
      <c r="Q159">
        <v>4.7400466334755382</v>
      </c>
      <c r="R159">
        <v>81.284210526315789</v>
      </c>
      <c r="S159">
        <v>4.8641424179077148</v>
      </c>
    </row>
    <row r="160" spans="1:19" x14ac:dyDescent="0.3">
      <c r="A160">
        <v>157</v>
      </c>
      <c r="F160">
        <v>81.805263157894743</v>
      </c>
      <c r="G160">
        <v>2.9264061133902719</v>
      </c>
      <c r="H160">
        <v>81.805263157894743</v>
      </c>
      <c r="I160">
        <v>3.6631275088731643</v>
      </c>
      <c r="J160">
        <v>81.805263157894743</v>
      </c>
      <c r="K160">
        <v>4.0273020208770731</v>
      </c>
      <c r="L160">
        <v>81.805263157894743</v>
      </c>
      <c r="M160">
        <v>4.2710770494191008</v>
      </c>
      <c r="N160">
        <v>81.805263157894743</v>
      </c>
      <c r="O160">
        <v>4.4586179850015313</v>
      </c>
      <c r="P160">
        <v>81.805263157894743</v>
      </c>
      <c r="Q160">
        <v>4.6140691650594636</v>
      </c>
      <c r="R160">
        <v>81.805263157894743</v>
      </c>
      <c r="S160">
        <v>4.7349319458007813</v>
      </c>
    </row>
    <row r="161" spans="1:19" x14ac:dyDescent="0.3">
      <c r="A161">
        <v>158</v>
      </c>
      <c r="F161">
        <v>82.326315789473682</v>
      </c>
      <c r="G161">
        <v>2.792258956804254</v>
      </c>
      <c r="H161">
        <v>82.326315789473682</v>
      </c>
      <c r="I161">
        <v>3.547879409770951</v>
      </c>
      <c r="J161">
        <v>82.326315789473682</v>
      </c>
      <c r="K161">
        <v>3.9147796977310976</v>
      </c>
      <c r="L161">
        <v>82.326315789473682</v>
      </c>
      <c r="M161">
        <v>4.1528670007647399</v>
      </c>
      <c r="N161">
        <v>82.326315789473682</v>
      </c>
      <c r="O161">
        <v>4.3358534091872567</v>
      </c>
      <c r="P161">
        <v>82.326315789473682</v>
      </c>
      <c r="Q161">
        <v>4.4790734650970006</v>
      </c>
      <c r="R161">
        <v>82.326315789473682</v>
      </c>
      <c r="S161">
        <v>4.6049766540527344</v>
      </c>
    </row>
    <row r="162" spans="1:19" x14ac:dyDescent="0.3">
      <c r="A162">
        <v>159</v>
      </c>
      <c r="F162">
        <v>82.847368421052636</v>
      </c>
      <c r="G162">
        <v>2.6752548719953144</v>
      </c>
      <c r="H162">
        <v>82.847368421052636</v>
      </c>
      <c r="I162">
        <v>3.4327197417742772</v>
      </c>
      <c r="J162">
        <v>82.847368421052636</v>
      </c>
      <c r="K162">
        <v>3.792469861030757</v>
      </c>
      <c r="L162">
        <v>82.847368421052636</v>
      </c>
      <c r="M162">
        <v>4.0340653096870689</v>
      </c>
      <c r="N162">
        <v>82.847368421052636</v>
      </c>
      <c r="O162">
        <v>4.2124472179890287</v>
      </c>
      <c r="P162">
        <v>82.847368421052636</v>
      </c>
      <c r="Q162">
        <v>4.3519045482363667</v>
      </c>
      <c r="R162">
        <v>82.847368421052636</v>
      </c>
      <c r="S162">
        <v>4.4743409156799316</v>
      </c>
    </row>
    <row r="163" spans="1:19" x14ac:dyDescent="0.3">
      <c r="A163">
        <v>160</v>
      </c>
      <c r="F163">
        <v>83.368421052631575</v>
      </c>
      <c r="G163">
        <v>2.5439355474063836</v>
      </c>
      <c r="H163">
        <v>83.368421052631575</v>
      </c>
      <c r="I163">
        <v>3.3070830736594097</v>
      </c>
      <c r="J163">
        <v>83.368421052631575</v>
      </c>
      <c r="K163">
        <v>3.6701316893222291</v>
      </c>
      <c r="L163">
        <v>83.368421052631575</v>
      </c>
      <c r="M163">
        <v>3.9062438348055699</v>
      </c>
      <c r="N163">
        <v>83.368421052631575</v>
      </c>
      <c r="O163">
        <v>4.0802801702145519</v>
      </c>
      <c r="P163">
        <v>83.368421052631575</v>
      </c>
      <c r="Q163">
        <v>4.2240534595045425</v>
      </c>
      <c r="R163">
        <v>83.368421052631575</v>
      </c>
      <c r="S163">
        <v>4.3429999351501465</v>
      </c>
    </row>
    <row r="164" spans="1:19" x14ac:dyDescent="0.3">
      <c r="A164">
        <v>161</v>
      </c>
      <c r="F164">
        <v>83.889473684210529</v>
      </c>
      <c r="G164">
        <v>2.4142822871572243</v>
      </c>
      <c r="H164">
        <v>83.889473684210529</v>
      </c>
      <c r="I164">
        <v>3.192584597858247</v>
      </c>
      <c r="J164">
        <v>83.889473684210529</v>
      </c>
      <c r="K164">
        <v>3.5478478603991266</v>
      </c>
      <c r="L164">
        <v>83.889473684210529</v>
      </c>
      <c r="M164">
        <v>3.7866239239081319</v>
      </c>
      <c r="N164">
        <v>83.889473684210529</v>
      </c>
      <c r="O164">
        <v>3.9559218518853019</v>
      </c>
      <c r="P164">
        <v>83.889473684210529</v>
      </c>
      <c r="Q164">
        <v>4.0956136400450127</v>
      </c>
      <c r="R164">
        <v>83.889473684210529</v>
      </c>
      <c r="S164">
        <v>4.2110223770141602</v>
      </c>
    </row>
    <row r="165" spans="1:19" x14ac:dyDescent="0.3">
      <c r="A165">
        <v>162</v>
      </c>
      <c r="F165">
        <v>84.410526315789468</v>
      </c>
      <c r="G165">
        <v>2.2709626820401798</v>
      </c>
      <c r="H165">
        <v>84.410526315789468</v>
      </c>
      <c r="I165">
        <v>3.0783425515515566</v>
      </c>
      <c r="J165">
        <v>84.410526315789468</v>
      </c>
      <c r="K165">
        <v>3.4342738282546414</v>
      </c>
      <c r="L165">
        <v>84.410526315789468</v>
      </c>
      <c r="M165">
        <v>3.658508270597439</v>
      </c>
      <c r="N165">
        <v>84.410526315789468</v>
      </c>
      <c r="O165">
        <v>3.831034038568248</v>
      </c>
      <c r="P165">
        <v>84.410526315789468</v>
      </c>
      <c r="Q165">
        <v>3.9666275643849609</v>
      </c>
      <c r="R165">
        <v>84.410526315789468</v>
      </c>
      <c r="S165">
        <v>4.0785064697265625</v>
      </c>
    </row>
    <row r="166" spans="1:19" x14ac:dyDescent="0.3">
      <c r="A166">
        <v>163</v>
      </c>
      <c r="F166">
        <v>84.931578947368422</v>
      </c>
      <c r="G166">
        <v>2.129876935062466</v>
      </c>
      <c r="H166">
        <v>84.931578947368422</v>
      </c>
      <c r="I166">
        <v>2.9543593480439729</v>
      </c>
      <c r="J166">
        <v>84.931578947368422</v>
      </c>
      <c r="K166">
        <v>3.3119155954322239</v>
      </c>
      <c r="L166">
        <v>84.931578947368422</v>
      </c>
      <c r="M166">
        <v>3.5381673903126458</v>
      </c>
      <c r="N166">
        <v>84.931578947368422</v>
      </c>
      <c r="O166">
        <v>3.7056109545509281</v>
      </c>
      <c r="P166">
        <v>84.931578947368422</v>
      </c>
      <c r="Q166">
        <v>3.8370510102950037</v>
      </c>
      <c r="R166">
        <v>84.931578947368422</v>
      </c>
      <c r="S166">
        <v>3.9453508853912354</v>
      </c>
    </row>
    <row r="167" spans="1:19" x14ac:dyDescent="0.3">
      <c r="A167">
        <v>164</v>
      </c>
      <c r="F167">
        <v>85.452631578947361</v>
      </c>
      <c r="G167">
        <v>1.9912304548901913</v>
      </c>
      <c r="H167">
        <v>85.452631578947361</v>
      </c>
      <c r="I167">
        <v>2.8311796593927561</v>
      </c>
      <c r="J167">
        <v>85.452631578947361</v>
      </c>
      <c r="K167">
        <v>3.1896947475869424</v>
      </c>
      <c r="L167">
        <v>85.452631578947361</v>
      </c>
      <c r="M167">
        <v>3.4098314995511148</v>
      </c>
      <c r="N167">
        <v>85.452631578947361</v>
      </c>
      <c r="O167">
        <v>3.5724721552848067</v>
      </c>
      <c r="P167">
        <v>85.452631578947361</v>
      </c>
      <c r="Q167">
        <v>3.706947723559209</v>
      </c>
      <c r="R167">
        <v>85.452631578947361</v>
      </c>
      <c r="S167">
        <v>3.8116672039031982</v>
      </c>
    </row>
    <row r="168" spans="1:19" x14ac:dyDescent="0.3">
      <c r="A168">
        <v>165</v>
      </c>
      <c r="F168">
        <v>85.973684210526315</v>
      </c>
      <c r="G168">
        <v>1.8552794662542849</v>
      </c>
      <c r="H168">
        <v>85.973684210526315</v>
      </c>
      <c r="I168">
        <v>2.7185325097215802</v>
      </c>
      <c r="J168">
        <v>85.973684210526315</v>
      </c>
      <c r="K168">
        <v>3.0676610879860657</v>
      </c>
      <c r="L168">
        <v>85.973684210526315</v>
      </c>
      <c r="M168">
        <v>3.2889154211117355</v>
      </c>
      <c r="N168">
        <v>85.973684210526315</v>
      </c>
      <c r="O168">
        <v>3.4463427351976117</v>
      </c>
      <c r="P168">
        <v>85.973684210526315</v>
      </c>
      <c r="Q168">
        <v>3.5763488113220352</v>
      </c>
      <c r="R168">
        <v>85.973684210526315</v>
      </c>
      <c r="S168">
        <v>3.6774435043334961</v>
      </c>
    </row>
    <row r="169" spans="1:19" x14ac:dyDescent="0.3">
      <c r="A169">
        <v>166</v>
      </c>
      <c r="F169">
        <v>86.494736842105269</v>
      </c>
      <c r="G169">
        <v>1.7071823641805468</v>
      </c>
      <c r="H169">
        <v>86.494736842105269</v>
      </c>
      <c r="I169">
        <v>2.596976570216412</v>
      </c>
      <c r="J169">
        <v>86.494736842105269</v>
      </c>
      <c r="K169">
        <v>2.9458854847867197</v>
      </c>
      <c r="L169">
        <v>86.494736842105269</v>
      </c>
      <c r="M169">
        <v>3.1605753349055812</v>
      </c>
      <c r="N169">
        <v>86.494736842105269</v>
      </c>
      <c r="O169">
        <v>3.3198243994501997</v>
      </c>
      <c r="P169">
        <v>86.494736842105269</v>
      </c>
      <c r="Q169">
        <v>3.4388670398973424</v>
      </c>
      <c r="R169">
        <v>86.494736842105269</v>
      </c>
      <c r="S169">
        <v>3.5427772998809814</v>
      </c>
    </row>
    <row r="170" spans="1:19" x14ac:dyDescent="0.3">
      <c r="A170">
        <v>167</v>
      </c>
      <c r="F170">
        <v>87.015789473684208</v>
      </c>
      <c r="G170">
        <v>1.5474990411121325</v>
      </c>
      <c r="H170">
        <v>87.015789473684208</v>
      </c>
      <c r="I170">
        <v>2.476379962721392</v>
      </c>
      <c r="J170">
        <v>87.015789473684208</v>
      </c>
      <c r="K170">
        <v>2.8243661298191713</v>
      </c>
      <c r="L170">
        <v>87.015789473684208</v>
      </c>
      <c r="M170">
        <v>3.0324140376745952</v>
      </c>
      <c r="N170">
        <v>87.015789473684208</v>
      </c>
      <c r="O170">
        <v>3.1864775816817197</v>
      </c>
      <c r="P170">
        <v>87.015789473684208</v>
      </c>
      <c r="Q170">
        <v>3.307771919620548</v>
      </c>
      <c r="R170">
        <v>87.015789473684208</v>
      </c>
      <c r="S170">
        <v>3.4078192710876465</v>
      </c>
    </row>
    <row r="171" spans="1:19" x14ac:dyDescent="0.3">
      <c r="A171">
        <v>168</v>
      </c>
      <c r="F171">
        <v>87.536842105263162</v>
      </c>
      <c r="G171">
        <v>1.3919476656220811</v>
      </c>
      <c r="H171">
        <v>87.536842105263162</v>
      </c>
      <c r="I171">
        <v>2.3569139601285665</v>
      </c>
      <c r="J171">
        <v>87.536842105263162</v>
      </c>
      <c r="K171">
        <v>2.7031845092271176</v>
      </c>
      <c r="L171">
        <v>87.536842105263162</v>
      </c>
      <c r="M171">
        <v>2.9110736855887906</v>
      </c>
      <c r="N171">
        <v>87.536842105263162</v>
      </c>
      <c r="O171">
        <v>3.059509970832198</v>
      </c>
      <c r="P171">
        <v>87.536842105263162</v>
      </c>
      <c r="Q171">
        <v>3.1762494031899013</v>
      </c>
      <c r="R171">
        <v>87.536842105263162</v>
      </c>
      <c r="S171">
        <v>3.2724201679229736</v>
      </c>
    </row>
    <row r="172" spans="1:19" x14ac:dyDescent="0.3">
      <c r="A172">
        <v>169</v>
      </c>
      <c r="F172">
        <v>88.057894736842101</v>
      </c>
      <c r="G172">
        <v>1.2259948870371509</v>
      </c>
      <c r="H172">
        <v>88.057894736842101</v>
      </c>
      <c r="I172">
        <v>2.2385488806593394</v>
      </c>
      <c r="J172">
        <v>88.057894736842101</v>
      </c>
      <c r="K172">
        <v>2.582339129791805</v>
      </c>
      <c r="L172">
        <v>88.057894736842101</v>
      </c>
      <c r="M172">
        <v>2.7830729938651748</v>
      </c>
      <c r="N172">
        <v>88.057894736842101</v>
      </c>
      <c r="O172">
        <v>2.9321867737587968</v>
      </c>
      <c r="P172">
        <v>88.057894736842101</v>
      </c>
      <c r="Q172">
        <v>3.0442911102786101</v>
      </c>
      <c r="R172">
        <v>88.057894736842101</v>
      </c>
      <c r="S172">
        <v>3.1365022659301758</v>
      </c>
    </row>
    <row r="173" spans="1:19" x14ac:dyDescent="0.3">
      <c r="A173">
        <v>170</v>
      </c>
      <c r="F173">
        <v>88.578947368421055</v>
      </c>
      <c r="G173">
        <v>1.035641615582455</v>
      </c>
      <c r="H173">
        <v>88.578947368421055</v>
      </c>
      <c r="I173">
        <v>2.1128875659999857</v>
      </c>
      <c r="J173">
        <v>88.578947368421055</v>
      </c>
      <c r="K173">
        <v>2.4551204725105116</v>
      </c>
      <c r="L173">
        <v>88.578947368421055</v>
      </c>
      <c r="M173">
        <v>2.6554089050768925</v>
      </c>
      <c r="N173">
        <v>88.578947368421055</v>
      </c>
      <c r="O173">
        <v>2.7988967718877173</v>
      </c>
      <c r="P173">
        <v>88.578947368421055</v>
      </c>
      <c r="Q173">
        <v>2.9121919513434538</v>
      </c>
      <c r="R173">
        <v>88.578947368421055</v>
      </c>
      <c r="S173">
        <v>3.0004940032958984</v>
      </c>
    </row>
    <row r="174" spans="1:19" x14ac:dyDescent="0.3">
      <c r="A174">
        <v>171</v>
      </c>
      <c r="F174">
        <v>89.1</v>
      </c>
      <c r="G174">
        <v>0.82193341686296018</v>
      </c>
      <c r="H174">
        <v>89.1</v>
      </c>
      <c r="I174">
        <v>1.9973410665659102</v>
      </c>
      <c r="J174">
        <v>89.1</v>
      </c>
      <c r="K174">
        <v>2.3354217594258477</v>
      </c>
      <c r="L174">
        <v>89.1</v>
      </c>
      <c r="M174">
        <v>2.5339712469265803</v>
      </c>
      <c r="N174">
        <v>89.1</v>
      </c>
      <c r="O174">
        <v>2.6714032938090932</v>
      </c>
      <c r="P174">
        <v>89.1</v>
      </c>
      <c r="Q174">
        <v>2.7797969724018659</v>
      </c>
      <c r="R174">
        <v>89.1</v>
      </c>
      <c r="S174">
        <v>2.8641698360443115</v>
      </c>
    </row>
    <row r="175" spans="1:19" x14ac:dyDescent="0.3">
      <c r="A175">
        <v>172</v>
      </c>
      <c r="F175">
        <v>89.621052631578948</v>
      </c>
      <c r="G175">
        <v>0.55610430730088656</v>
      </c>
      <c r="H175">
        <v>89.621052631578948</v>
      </c>
      <c r="I175">
        <v>1.8750829582184088</v>
      </c>
      <c r="J175">
        <v>89.621052631578948</v>
      </c>
      <c r="K175">
        <v>2.2162127335896944</v>
      </c>
      <c r="L175">
        <v>89.621052631578948</v>
      </c>
      <c r="M175">
        <v>2.406738367697443</v>
      </c>
      <c r="N175">
        <v>89.621052631578948</v>
      </c>
      <c r="O175">
        <v>2.5383777798818175</v>
      </c>
      <c r="P175">
        <v>89.621052631578948</v>
      </c>
      <c r="Q175">
        <v>2.6420960731960301</v>
      </c>
      <c r="R175">
        <v>89.621052631578948</v>
      </c>
      <c r="S175">
        <v>2.7275192737579346</v>
      </c>
    </row>
    <row r="176" spans="1:19" x14ac:dyDescent="0.3">
      <c r="A176">
        <v>173</v>
      </c>
      <c r="H176">
        <v>90.142105263157902</v>
      </c>
      <c r="I176">
        <v>1.7547741478302874</v>
      </c>
      <c r="J176">
        <v>90.142105263157902</v>
      </c>
      <c r="K176">
        <v>2.0914434436984104</v>
      </c>
      <c r="L176">
        <v>90.142105263157902</v>
      </c>
      <c r="M176">
        <v>2.2798849805430792</v>
      </c>
      <c r="N176">
        <v>90.142105263157902</v>
      </c>
      <c r="O176">
        <v>2.410778340361305</v>
      </c>
      <c r="P176">
        <v>90.142105263157902</v>
      </c>
      <c r="Q176">
        <v>2.5095486277951777</v>
      </c>
      <c r="R176">
        <v>90.142105263157902</v>
      </c>
      <c r="S176">
        <v>2.5907871723175049</v>
      </c>
    </row>
    <row r="177" spans="1:19" x14ac:dyDescent="0.3">
      <c r="A177">
        <v>174</v>
      </c>
      <c r="H177">
        <v>90.663157894736841</v>
      </c>
      <c r="I177">
        <v>1.6289718724070488</v>
      </c>
      <c r="J177">
        <v>90.663157894736841</v>
      </c>
      <c r="K177">
        <v>1.9736423436664925</v>
      </c>
      <c r="L177">
        <v>90.663157894736841</v>
      </c>
      <c r="M177">
        <v>2.1535172375845679</v>
      </c>
      <c r="N177">
        <v>90.663157894736841</v>
      </c>
      <c r="O177">
        <v>2.2830596265912639</v>
      </c>
      <c r="P177">
        <v>90.663157894736841</v>
      </c>
      <c r="Q177">
        <v>2.3768090249574989</v>
      </c>
      <c r="R177">
        <v>90.663157894736841</v>
      </c>
      <c r="S177">
        <v>2.4538033008575439</v>
      </c>
    </row>
    <row r="178" spans="1:19" x14ac:dyDescent="0.3">
      <c r="A178">
        <v>175</v>
      </c>
      <c r="H178">
        <v>91.184210526315795</v>
      </c>
      <c r="I178">
        <v>1.5132019564609966</v>
      </c>
      <c r="J178">
        <v>91.184210526315795</v>
      </c>
      <c r="K178">
        <v>1.8508700216336857</v>
      </c>
      <c r="L178">
        <v>91.184210526315795</v>
      </c>
      <c r="M178">
        <v>2.0275570315559239</v>
      </c>
      <c r="N178">
        <v>91.184210526315795</v>
      </c>
      <c r="O178">
        <v>2.1505934762343997</v>
      </c>
      <c r="P178">
        <v>91.184210526315795</v>
      </c>
      <c r="Q178">
        <v>2.2438521725985368</v>
      </c>
      <c r="R178">
        <v>91.184210526315795</v>
      </c>
      <c r="S178">
        <v>2.3165879249572754</v>
      </c>
    </row>
    <row r="179" spans="1:19" x14ac:dyDescent="0.3">
      <c r="A179">
        <v>176</v>
      </c>
      <c r="H179">
        <v>91.705263157894734</v>
      </c>
      <c r="I179">
        <v>1.3927012762204933</v>
      </c>
      <c r="J179">
        <v>91.705263157894734</v>
      </c>
      <c r="K179">
        <v>1.7293826528130274</v>
      </c>
      <c r="L179">
        <v>91.705263157894734</v>
      </c>
      <c r="M179">
        <v>1.9022121213623304</v>
      </c>
      <c r="N179">
        <v>91.705263157894734</v>
      </c>
      <c r="O179">
        <v>2.0229955653390728</v>
      </c>
      <c r="P179">
        <v>91.705263157894734</v>
      </c>
      <c r="Q179">
        <v>2.1109208100940884</v>
      </c>
      <c r="R179">
        <v>91.705263157894734</v>
      </c>
      <c r="S179">
        <v>2.1793923377990723</v>
      </c>
    </row>
    <row r="180" spans="1:19" x14ac:dyDescent="0.3">
      <c r="A180">
        <v>177</v>
      </c>
      <c r="H180">
        <v>92.226315789473688</v>
      </c>
      <c r="I180">
        <v>1.2750836345170917</v>
      </c>
      <c r="J180">
        <v>92.226315789473688</v>
      </c>
      <c r="K180">
        <v>1.6089819990615157</v>
      </c>
      <c r="L180">
        <v>92.226315789473688</v>
      </c>
      <c r="M180">
        <v>1.7772428004893568</v>
      </c>
      <c r="N180">
        <v>92.226315789473688</v>
      </c>
      <c r="O180">
        <v>1.8911413726101811</v>
      </c>
      <c r="P180">
        <v>92.226315789473688</v>
      </c>
      <c r="Q180">
        <v>1.9739874985742689</v>
      </c>
      <c r="R180">
        <v>92.226315789473688</v>
      </c>
      <c r="S180">
        <v>2.0420403480529785</v>
      </c>
    </row>
    <row r="181" spans="1:19" x14ac:dyDescent="0.3">
      <c r="A181">
        <v>178</v>
      </c>
      <c r="H181">
        <v>92.747368421052627</v>
      </c>
      <c r="I181">
        <v>1.1542168447105219</v>
      </c>
      <c r="J181">
        <v>92.747368421052627</v>
      </c>
      <c r="K181">
        <v>1.490116325542151</v>
      </c>
      <c r="L181">
        <v>92.747368421052627</v>
      </c>
      <c r="M181">
        <v>1.65308378475857</v>
      </c>
      <c r="N181">
        <v>92.747368421052627</v>
      </c>
      <c r="O181">
        <v>1.7599986437515458</v>
      </c>
      <c r="P181">
        <v>92.747368421052627</v>
      </c>
      <c r="Q181">
        <v>1.8412615182478422</v>
      </c>
      <c r="R181">
        <v>92.747368421052627</v>
      </c>
      <c r="S181">
        <v>1.9047931432723999</v>
      </c>
    </row>
    <row r="182" spans="1:19" x14ac:dyDescent="0.3">
      <c r="A182">
        <v>179</v>
      </c>
      <c r="H182">
        <v>93.268421052631581</v>
      </c>
      <c r="I182">
        <v>1.0371767931901721</v>
      </c>
      <c r="J182">
        <v>93.268421052631581</v>
      </c>
      <c r="K182">
        <v>1.3724952693010406</v>
      </c>
      <c r="L182">
        <v>93.268421052631581</v>
      </c>
      <c r="M182">
        <v>1.5294404583402372</v>
      </c>
      <c r="N182">
        <v>93.268421052631581</v>
      </c>
      <c r="O182">
        <v>1.6328483405851417</v>
      </c>
      <c r="P182">
        <v>93.268421052631581</v>
      </c>
      <c r="Q182">
        <v>1.7084181961517926</v>
      </c>
      <c r="R182">
        <v>93.268421052631581</v>
      </c>
      <c r="S182">
        <v>1.767387866973877</v>
      </c>
    </row>
    <row r="183" spans="1:19" x14ac:dyDescent="0.3">
      <c r="A183">
        <v>180</v>
      </c>
      <c r="H183">
        <v>93.78947368421052</v>
      </c>
      <c r="I183">
        <v>0.918284151896956</v>
      </c>
      <c r="J183">
        <v>93.78947368421052</v>
      </c>
      <c r="K183">
        <v>1.2562886535580122</v>
      </c>
      <c r="L183">
        <v>93.78947368421052</v>
      </c>
      <c r="M183">
        <v>1.4064140641409859</v>
      </c>
      <c r="N183">
        <v>93.78947368421052</v>
      </c>
      <c r="O183">
        <v>1.5024136274923934</v>
      </c>
      <c r="P183">
        <v>93.78947368421052</v>
      </c>
      <c r="Q183">
        <v>1.5755750415856962</v>
      </c>
      <c r="R183">
        <v>93.78947368421052</v>
      </c>
      <c r="S183">
        <v>1.6300266981124878</v>
      </c>
    </row>
    <row r="184" spans="1:19" x14ac:dyDescent="0.3">
      <c r="A184">
        <v>181</v>
      </c>
      <c r="H184">
        <v>94.310526315789474</v>
      </c>
      <c r="I184">
        <v>0.80457711589877934</v>
      </c>
      <c r="J184">
        <v>94.310526315789474</v>
      </c>
      <c r="K184">
        <v>1.1377285776134536</v>
      </c>
      <c r="L184">
        <v>94.310526315789474</v>
      </c>
      <c r="M184">
        <v>1.2841211822443439</v>
      </c>
      <c r="N184">
        <v>94.310526315789474</v>
      </c>
      <c r="O184">
        <v>1.3756284409453468</v>
      </c>
      <c r="P184">
        <v>94.310526315789474</v>
      </c>
      <c r="Q184">
        <v>1.4399519174387758</v>
      </c>
      <c r="R184">
        <v>94.310526315789474</v>
      </c>
      <c r="S184">
        <v>1.492644190788269</v>
      </c>
    </row>
    <row r="185" spans="1:19" x14ac:dyDescent="0.3">
      <c r="A185">
        <v>182</v>
      </c>
      <c r="H185">
        <v>94.831578947368428</v>
      </c>
      <c r="I185">
        <v>0.685398140666584</v>
      </c>
      <c r="J185">
        <v>94.831578947368428</v>
      </c>
      <c r="K185">
        <v>1.0248787402824355</v>
      </c>
      <c r="L185">
        <v>94.831578947368428</v>
      </c>
      <c r="M185">
        <v>1.1594925322711589</v>
      </c>
      <c r="N185">
        <v>94.831578947368428</v>
      </c>
      <c r="O185">
        <v>1.2461551449195429</v>
      </c>
      <c r="P185">
        <v>94.831578947368428</v>
      </c>
      <c r="Q185">
        <v>1.3074604612736551</v>
      </c>
      <c r="R185">
        <v>94.831578947368428</v>
      </c>
      <c r="S185">
        <v>1.3553506135940552</v>
      </c>
    </row>
    <row r="186" spans="1:19" x14ac:dyDescent="0.3">
      <c r="A186">
        <v>183</v>
      </c>
      <c r="H186">
        <v>95.352631578947367</v>
      </c>
      <c r="I186">
        <v>0.5682848507297602</v>
      </c>
      <c r="J186">
        <v>95.352631578947367</v>
      </c>
      <c r="K186">
        <v>0.9103645377129157</v>
      </c>
      <c r="L186">
        <v>95.352631578947367</v>
      </c>
      <c r="M186">
        <v>1.0389557341959854</v>
      </c>
      <c r="N186">
        <v>95.352631578947367</v>
      </c>
      <c r="O186">
        <v>1.1173614949245019</v>
      </c>
      <c r="P186">
        <v>95.352631578947367</v>
      </c>
      <c r="Q186">
        <v>1.1750640278987321</v>
      </c>
      <c r="R186">
        <v>95.352631578947367</v>
      </c>
      <c r="S186">
        <v>1.2181119918823242</v>
      </c>
    </row>
    <row r="187" spans="1:19" x14ac:dyDescent="0.3">
      <c r="A187">
        <v>184</v>
      </c>
      <c r="H187">
        <v>95.873684210526321</v>
      </c>
      <c r="I187">
        <v>0.45022012993840399</v>
      </c>
      <c r="J187">
        <v>95.873684210526321</v>
      </c>
      <c r="K187">
        <v>0.79799962070159958</v>
      </c>
      <c r="L187">
        <v>95.873684210526321</v>
      </c>
      <c r="M187">
        <v>0.91659070806258292</v>
      </c>
      <c r="N187">
        <v>95.873684210526321</v>
      </c>
      <c r="O187">
        <v>0.98913742169201568</v>
      </c>
      <c r="P187">
        <v>95.873684210526321</v>
      </c>
      <c r="Q187">
        <v>1.04068665994464</v>
      </c>
      <c r="R187">
        <v>95.873684210526321</v>
      </c>
      <c r="S187">
        <v>1.0810272693634033</v>
      </c>
    </row>
    <row r="188" spans="1:19" x14ac:dyDescent="0.3">
      <c r="A188">
        <v>185</v>
      </c>
      <c r="H188">
        <v>96.39473684210526</v>
      </c>
      <c r="I188">
        <v>0.32997116967837825</v>
      </c>
      <c r="J188">
        <v>96.39473684210526</v>
      </c>
      <c r="K188">
        <v>0.68818872214880633</v>
      </c>
      <c r="L188">
        <v>96.39473684210526</v>
      </c>
      <c r="M188">
        <v>0.79791834879550616</v>
      </c>
      <c r="N188">
        <v>96.39473684210526</v>
      </c>
      <c r="O188">
        <v>0.86364373643010595</v>
      </c>
      <c r="P188">
        <v>96.39473684210526</v>
      </c>
      <c r="Q188">
        <v>0.90875739729272564</v>
      </c>
      <c r="R188">
        <v>96.39473684210526</v>
      </c>
      <c r="S188">
        <v>0.94401103258132935</v>
      </c>
    </row>
    <row r="189" spans="1:19" x14ac:dyDescent="0.3">
      <c r="A189">
        <v>186</v>
      </c>
      <c r="H189">
        <v>96.915789473684214</v>
      </c>
      <c r="I189">
        <v>0.20459197230809395</v>
      </c>
      <c r="J189">
        <v>96.915789473684214</v>
      </c>
      <c r="K189">
        <v>0.57841732064195184</v>
      </c>
      <c r="L189">
        <v>96.915789473684214</v>
      </c>
      <c r="M189">
        <v>0.67813667327658278</v>
      </c>
      <c r="N189">
        <v>96.915789473684214</v>
      </c>
      <c r="O189">
        <v>0.73663372639001967</v>
      </c>
      <c r="P189">
        <v>96.915789473684214</v>
      </c>
      <c r="Q189">
        <v>0.7770309120332819</v>
      </c>
      <c r="R189">
        <v>96.915789473684214</v>
      </c>
      <c r="S189">
        <v>0.80725455284118652</v>
      </c>
    </row>
    <row r="190" spans="1:19" x14ac:dyDescent="0.3">
      <c r="A190">
        <v>187</v>
      </c>
      <c r="J190">
        <v>97.436842105263153</v>
      </c>
      <c r="K190">
        <v>0.47193708970403758</v>
      </c>
      <c r="L190">
        <v>97.436842105263153</v>
      </c>
      <c r="M190">
        <v>0.55987265016163235</v>
      </c>
      <c r="N190">
        <v>97.436842105263153</v>
      </c>
      <c r="O190">
        <v>0.61038804098394916</v>
      </c>
      <c r="P190">
        <v>97.436842105263153</v>
      </c>
      <c r="Q190">
        <v>0.64413026994378275</v>
      </c>
      <c r="R190">
        <v>97.436842105263153</v>
      </c>
      <c r="S190">
        <v>0.67051422595977783</v>
      </c>
    </row>
    <row r="191" spans="1:19" x14ac:dyDescent="0.3">
      <c r="A191">
        <v>188</v>
      </c>
      <c r="J191">
        <v>97.957894736842107</v>
      </c>
      <c r="K191">
        <v>0.36887320306350424</v>
      </c>
      <c r="L191">
        <v>97.957894736842107</v>
      </c>
      <c r="M191">
        <v>0.44296035772087106</v>
      </c>
      <c r="N191">
        <v>97.957894736842107</v>
      </c>
      <c r="O191">
        <v>0.48464371338651313</v>
      </c>
      <c r="P191">
        <v>97.957894736842107</v>
      </c>
      <c r="Q191">
        <v>0.5126474672861363</v>
      </c>
      <c r="R191">
        <v>97.957894736842107</v>
      </c>
      <c r="S191">
        <v>0.53365087509155273</v>
      </c>
    </row>
    <row r="192" spans="1:19" x14ac:dyDescent="0.3">
      <c r="A192">
        <v>189</v>
      </c>
      <c r="J192">
        <v>98.478947368421046</v>
      </c>
      <c r="K192">
        <v>0.26800207190225711</v>
      </c>
      <c r="L192">
        <v>98.478947368421046</v>
      </c>
      <c r="M192">
        <v>0.32759545177063387</v>
      </c>
      <c r="N192">
        <v>98.478947368421046</v>
      </c>
      <c r="O192">
        <v>0.3598228941857502</v>
      </c>
      <c r="P192">
        <v>98.478947368421046</v>
      </c>
      <c r="Q192">
        <v>0.38158699278758534</v>
      </c>
      <c r="R192">
        <v>98.478947368421046</v>
      </c>
      <c r="S192">
        <v>0.39724737405776978</v>
      </c>
    </row>
    <row r="193" spans="1:19" x14ac:dyDescent="0.3">
      <c r="A193">
        <v>190</v>
      </c>
      <c r="J193">
        <v>99</v>
      </c>
      <c r="K193">
        <v>0.17176459471093403</v>
      </c>
      <c r="L193">
        <v>99</v>
      </c>
      <c r="M193">
        <v>0.21387067922785324</v>
      </c>
      <c r="N193">
        <v>99</v>
      </c>
      <c r="O193">
        <v>0.2357409654553389</v>
      </c>
      <c r="P193">
        <v>99</v>
      </c>
      <c r="Q193">
        <v>0.25005838095844851</v>
      </c>
      <c r="R193">
        <v>99</v>
      </c>
      <c r="S193">
        <v>0.26081562042236328</v>
      </c>
    </row>
  </sheetData>
  <phoneticPr fontId="2" type="noConversion"/>
  <pageMargins left="0.75" right="0.75" top="1" bottom="1" header="0.4921259845" footer="0.492125984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3:S193"/>
  <sheetViews>
    <sheetView workbookViewId="0"/>
  </sheetViews>
  <sheetFormatPr defaultRowHeight="12.45" x14ac:dyDescent="0.3"/>
  <cols>
    <col min="1" max="256" width="11.07421875" customWidth="1"/>
  </cols>
  <sheetData>
    <row r="3" spans="1:19" x14ac:dyDescent="0.3">
      <c r="A3">
        <v>0</v>
      </c>
      <c r="B3">
        <v>0</v>
      </c>
      <c r="C3">
        <v>2</v>
      </c>
      <c r="D3">
        <v>0</v>
      </c>
      <c r="E3">
        <v>2.0258083312701753</v>
      </c>
      <c r="F3">
        <v>0</v>
      </c>
      <c r="G3">
        <v>2.1210742369219</v>
      </c>
      <c r="H3">
        <v>0</v>
      </c>
      <c r="I3">
        <v>2.3083201154085127</v>
      </c>
      <c r="J3">
        <v>0</v>
      </c>
      <c r="K3">
        <v>2.6916137583027773</v>
      </c>
      <c r="L3">
        <v>0</v>
      </c>
      <c r="M3">
        <v>4.1043319634497433</v>
      </c>
      <c r="R3">
        <v>0</v>
      </c>
      <c r="S3">
        <v>2</v>
      </c>
    </row>
    <row r="4" spans="1:19" x14ac:dyDescent="0.3">
      <c r="A4">
        <v>1</v>
      </c>
      <c r="B4">
        <v>0.52105263157894732</v>
      </c>
      <c r="C4">
        <v>1.8653110265731812</v>
      </c>
      <c r="D4">
        <v>0.52105263157894732</v>
      </c>
      <c r="E4">
        <v>1.8915892360932625</v>
      </c>
      <c r="F4">
        <v>0.52105263157894732</v>
      </c>
      <c r="G4">
        <v>1.9886059654308892</v>
      </c>
      <c r="H4">
        <v>0.52105263157894732</v>
      </c>
      <c r="I4">
        <v>2.1793498386675862</v>
      </c>
      <c r="J4">
        <v>0.52105263157894732</v>
      </c>
      <c r="K4">
        <v>2.5570215988807399</v>
      </c>
      <c r="L4">
        <v>0.52105263157894732</v>
      </c>
      <c r="M4">
        <v>3.8118448585846645</v>
      </c>
      <c r="R4">
        <v>0.52105263157894732</v>
      </c>
      <c r="S4">
        <v>1.8653110265731812</v>
      </c>
    </row>
    <row r="5" spans="1:19" x14ac:dyDescent="0.3">
      <c r="A5">
        <v>2</v>
      </c>
      <c r="B5">
        <v>1.0421052631578946</v>
      </c>
      <c r="C5">
        <v>1.7318509817123413</v>
      </c>
      <c r="D5">
        <v>1.0421052631578946</v>
      </c>
      <c r="E5">
        <v>1.7585892536242609</v>
      </c>
      <c r="F5">
        <v>1.0421052631578946</v>
      </c>
      <c r="G5">
        <v>1.8494189866941242</v>
      </c>
      <c r="H5">
        <v>1.0421052631578946</v>
      </c>
      <c r="I5">
        <v>2.0404266497754531</v>
      </c>
      <c r="J5">
        <v>1.0421052631578946</v>
      </c>
      <c r="K5">
        <v>2.4229516591394704</v>
      </c>
      <c r="L5">
        <v>1.0421052631578946</v>
      </c>
      <c r="M5">
        <v>3.5737201835700136</v>
      </c>
      <c r="R5">
        <v>1.0421052631578946</v>
      </c>
      <c r="S5">
        <v>1.7318509817123413</v>
      </c>
    </row>
    <row r="6" spans="1:19" x14ac:dyDescent="0.3">
      <c r="A6">
        <v>3</v>
      </c>
      <c r="B6">
        <v>1.5631578947368421</v>
      </c>
      <c r="C6">
        <v>1.5996167659759521</v>
      </c>
      <c r="D6">
        <v>1.5631578947368421</v>
      </c>
      <c r="E6">
        <v>1.6268053237991309</v>
      </c>
      <c r="F6">
        <v>1.5631578947368421</v>
      </c>
      <c r="G6">
        <v>1.7191796625393065</v>
      </c>
      <c r="H6">
        <v>1.5631578947368421</v>
      </c>
      <c r="I6">
        <v>1.9134919864166111</v>
      </c>
      <c r="J6">
        <v>1.5631578947368421</v>
      </c>
      <c r="K6">
        <v>2.2894187183705887</v>
      </c>
      <c r="L6">
        <v>1.5631578947368421</v>
      </c>
      <c r="M6">
        <v>3.3523941507446011</v>
      </c>
      <c r="R6">
        <v>1.5631578947368421</v>
      </c>
      <c r="S6">
        <v>1.5996167659759521</v>
      </c>
    </row>
    <row r="7" spans="1:19" x14ac:dyDescent="0.3">
      <c r="A7">
        <v>4</v>
      </c>
      <c r="B7">
        <v>2.0842105263157893</v>
      </c>
      <c r="C7">
        <v>1.4686084985733032</v>
      </c>
      <c r="D7">
        <v>2.0842105263157893</v>
      </c>
      <c r="E7">
        <v>1.4962375897225479</v>
      </c>
      <c r="F7">
        <v>2.0842105263157893</v>
      </c>
      <c r="G7">
        <v>1.5901240424265801</v>
      </c>
      <c r="H7">
        <v>2.0842105263157893</v>
      </c>
      <c r="I7">
        <v>1.7876749518930923</v>
      </c>
      <c r="J7">
        <v>2.0842105263157893</v>
      </c>
      <c r="K7">
        <v>2.1564409331839816</v>
      </c>
      <c r="L7">
        <v>2.0842105263157893</v>
      </c>
      <c r="M7">
        <v>3.1612869737168086</v>
      </c>
      <c r="R7">
        <v>2.0842105263157893</v>
      </c>
      <c r="S7">
        <v>1.4686084985733032</v>
      </c>
    </row>
    <row r="8" spans="1:19" x14ac:dyDescent="0.3">
      <c r="A8">
        <v>5</v>
      </c>
      <c r="B8">
        <v>2.6052631578947367</v>
      </c>
      <c r="C8">
        <v>1.3388289213180542</v>
      </c>
      <c r="D8">
        <v>2.6052631578947367</v>
      </c>
      <c r="E8">
        <v>1.3668888468392293</v>
      </c>
      <c r="F8">
        <v>2.6052631578947367</v>
      </c>
      <c r="G8">
        <v>1.4622549999627115</v>
      </c>
      <c r="H8">
        <v>2.6052631578947367</v>
      </c>
      <c r="I8">
        <v>1.6514653983965455</v>
      </c>
      <c r="J8">
        <v>2.6052631578947367</v>
      </c>
      <c r="K8">
        <v>2.0240388452366638</v>
      </c>
      <c r="L8">
        <v>2.6052631578947367</v>
      </c>
      <c r="M8">
        <v>2.9844429314922492</v>
      </c>
      <c r="R8">
        <v>2.6052631578947367</v>
      </c>
      <c r="S8">
        <v>1.3388289213180542</v>
      </c>
    </row>
    <row r="9" spans="1:19" x14ac:dyDescent="0.3">
      <c r="A9">
        <v>6</v>
      </c>
      <c r="B9">
        <v>3.1263157894736842</v>
      </c>
      <c r="C9">
        <v>1.2102826833724976</v>
      </c>
      <c r="D9">
        <v>3.1263157894736842</v>
      </c>
      <c r="E9">
        <v>1.2387637538653216</v>
      </c>
      <c r="F9">
        <v>3.1263157894736842</v>
      </c>
      <c r="G9">
        <v>1.3355772953552563</v>
      </c>
      <c r="H9">
        <v>3.1263157894736842</v>
      </c>
      <c r="I9">
        <v>1.5277142158625048</v>
      </c>
      <c r="J9">
        <v>3.1263157894736842</v>
      </c>
      <c r="K9">
        <v>1.8922352994536271</v>
      </c>
      <c r="L9">
        <v>3.1263157894736842</v>
      </c>
      <c r="M9">
        <v>2.8219213032837063</v>
      </c>
      <c r="R9">
        <v>3.1263157894736842</v>
      </c>
      <c r="S9">
        <v>1.2102826833724976</v>
      </c>
    </row>
    <row r="10" spans="1:19" x14ac:dyDescent="0.3">
      <c r="A10">
        <v>7</v>
      </c>
      <c r="B10">
        <v>3.6473684210526316</v>
      </c>
      <c r="C10">
        <v>1.0829774141311646</v>
      </c>
      <c r="D10">
        <v>3.6473684210526316</v>
      </c>
      <c r="E10">
        <v>1.1118699244596397</v>
      </c>
      <c r="F10">
        <v>3.6473684210526316</v>
      </c>
      <c r="G10">
        <v>1.2100984918750293</v>
      </c>
      <c r="H10">
        <v>3.6473684210526316</v>
      </c>
      <c r="I10">
        <v>1.4050997792905677</v>
      </c>
      <c r="J10">
        <v>3.6473684210526316</v>
      </c>
      <c r="K10">
        <v>1.7610553744868613</v>
      </c>
      <c r="L10">
        <v>3.6473684210526316</v>
      </c>
      <c r="M10">
        <v>2.6584924287234806</v>
      </c>
      <c r="R10">
        <v>3.6473684210526316</v>
      </c>
      <c r="S10">
        <v>1.0829774141311646</v>
      </c>
    </row>
    <row r="11" spans="1:19" x14ac:dyDescent="0.3">
      <c r="A11">
        <v>8</v>
      </c>
      <c r="B11">
        <v>4.1684210526315786</v>
      </c>
      <c r="C11">
        <v>0.95692139863967896</v>
      </c>
      <c r="D11">
        <v>4.1684210526315786</v>
      </c>
      <c r="E11">
        <v>0.98621569266784537</v>
      </c>
      <c r="F11">
        <v>4.1684210526315786</v>
      </c>
      <c r="G11">
        <v>1.0773822588313891</v>
      </c>
      <c r="H11">
        <v>4.1684210526315786</v>
      </c>
      <c r="I11">
        <v>1.2717242658622214</v>
      </c>
      <c r="J11">
        <v>4.1684210526315786</v>
      </c>
      <c r="K11">
        <v>1.6449019383035233</v>
      </c>
      <c r="L11">
        <v>4.1684210526315786</v>
      </c>
      <c r="M11">
        <v>2.509903367352357</v>
      </c>
      <c r="R11">
        <v>4.1684210526315786</v>
      </c>
      <c r="S11">
        <v>0.95692139863967896</v>
      </c>
    </row>
    <row r="12" spans="1:19" x14ac:dyDescent="0.3">
      <c r="A12">
        <v>9</v>
      </c>
      <c r="B12">
        <v>4.689473684210526</v>
      </c>
      <c r="C12">
        <v>0.83212500810623169</v>
      </c>
      <c r="D12">
        <v>4.689473684210526</v>
      </c>
      <c r="E12">
        <v>0.86181144260140141</v>
      </c>
      <c r="F12">
        <v>4.689473684210526</v>
      </c>
      <c r="G12">
        <v>0.95421326308903809</v>
      </c>
      <c r="H12">
        <v>4.689473684210526</v>
      </c>
      <c r="I12">
        <v>1.151243975820506</v>
      </c>
      <c r="J12">
        <v>4.689473684210526</v>
      </c>
      <c r="K12">
        <v>1.5152093689690678</v>
      </c>
      <c r="L12">
        <v>4.689473684210526</v>
      </c>
      <c r="M12">
        <v>2.360772143618858</v>
      </c>
      <c r="R12">
        <v>4.689473684210526</v>
      </c>
      <c r="S12">
        <v>0.83212500810623169</v>
      </c>
    </row>
    <row r="13" spans="1:19" x14ac:dyDescent="0.3">
      <c r="A13">
        <v>10</v>
      </c>
      <c r="B13">
        <v>5.2105263157894735</v>
      </c>
      <c r="C13">
        <v>0.70859944820404053</v>
      </c>
      <c r="D13">
        <v>5.2105263157894735</v>
      </c>
      <c r="E13">
        <v>0.7386683671027352</v>
      </c>
      <c r="F13">
        <v>5.2105263157894735</v>
      </c>
      <c r="G13">
        <v>0.8322758912134931</v>
      </c>
      <c r="H13">
        <v>5.2105263157894735</v>
      </c>
      <c r="I13">
        <v>1.0319342284149609</v>
      </c>
      <c r="J13">
        <v>5.2105263157894735</v>
      </c>
      <c r="K13">
        <v>1.3862160218345139</v>
      </c>
      <c r="L13">
        <v>5.2105263157894735</v>
      </c>
      <c r="M13">
        <v>2.211135020180131</v>
      </c>
      <c r="R13">
        <v>5.2105263157894735</v>
      </c>
      <c r="S13">
        <v>0.70859944820404053</v>
      </c>
    </row>
    <row r="14" spans="1:19" x14ac:dyDescent="0.3">
      <c r="A14">
        <v>11</v>
      </c>
      <c r="B14">
        <v>5.7315789473684209</v>
      </c>
      <c r="C14">
        <v>0.58635711669921875</v>
      </c>
      <c r="D14">
        <v>5.7315789473684209</v>
      </c>
      <c r="E14">
        <v>0.61679887079234308</v>
      </c>
      <c r="F14">
        <v>5.7315789473684209</v>
      </c>
      <c r="G14">
        <v>0.71158259927639755</v>
      </c>
      <c r="H14">
        <v>5.7315789473684209</v>
      </c>
      <c r="I14">
        <v>0.91380756902249116</v>
      </c>
      <c r="J14">
        <v>5.7315789473684209</v>
      </c>
      <c r="K14">
        <v>1.2728379522945716</v>
      </c>
      <c r="L14">
        <v>5.7315789473684209</v>
      </c>
      <c r="M14">
        <v>2.0773627379776833</v>
      </c>
      <c r="N14">
        <v>5.7315789473684209</v>
      </c>
      <c r="O14">
        <v>7.7168748793685342</v>
      </c>
      <c r="R14">
        <v>5.7315789473684209</v>
      </c>
      <c r="S14">
        <v>0.58635711669921875</v>
      </c>
    </row>
    <row r="15" spans="1:19" x14ac:dyDescent="0.3">
      <c r="A15">
        <v>12</v>
      </c>
      <c r="B15">
        <v>6.2526315789473683</v>
      </c>
      <c r="C15">
        <v>0.46541061997413635</v>
      </c>
      <c r="D15">
        <v>6.2526315789473683</v>
      </c>
      <c r="E15">
        <v>0.49621558550740541</v>
      </c>
      <c r="F15">
        <v>6.2526315789473683</v>
      </c>
      <c r="G15">
        <v>0.59214605736141002</v>
      </c>
      <c r="H15">
        <v>6.2526315789473683</v>
      </c>
      <c r="I15">
        <v>0.78447353823878219</v>
      </c>
      <c r="J15">
        <v>6.2526315789473683</v>
      </c>
      <c r="K15">
        <v>1.1454705765955733</v>
      </c>
      <c r="L15">
        <v>6.2526315789473683</v>
      </c>
      <c r="M15">
        <v>1.9435623134056108</v>
      </c>
      <c r="N15">
        <v>6.2526315789473683</v>
      </c>
      <c r="O15">
        <v>7.398602482852433</v>
      </c>
      <c r="R15">
        <v>6.2526315789473683</v>
      </c>
      <c r="S15">
        <v>0.46541061997413635</v>
      </c>
    </row>
    <row r="16" spans="1:19" x14ac:dyDescent="0.3">
      <c r="A16">
        <v>13</v>
      </c>
      <c r="B16">
        <v>6.7736842105263158</v>
      </c>
      <c r="C16">
        <v>0.34577363729476929</v>
      </c>
      <c r="D16">
        <v>6.7736842105263158</v>
      </c>
      <c r="E16">
        <v>0.37231711025663217</v>
      </c>
      <c r="F16">
        <v>6.7736842105263158</v>
      </c>
      <c r="G16">
        <v>0.4739799354922582</v>
      </c>
      <c r="H16">
        <v>6.7736842105263158</v>
      </c>
      <c r="I16">
        <v>0.66860175727837579</v>
      </c>
      <c r="J16">
        <v>6.7736842105263158</v>
      </c>
      <c r="K16">
        <v>1.0340997507018528</v>
      </c>
      <c r="L16">
        <v>6.7736842105263158</v>
      </c>
      <c r="M16">
        <v>1.8097730688908067</v>
      </c>
      <c r="N16">
        <v>6.7736842105263158</v>
      </c>
      <c r="O16">
        <v>7.0863024058143527</v>
      </c>
      <c r="R16">
        <v>6.7736842105263158</v>
      </c>
      <c r="S16">
        <v>0.34577363729476929</v>
      </c>
    </row>
    <row r="17" spans="1:19" x14ac:dyDescent="0.3">
      <c r="A17">
        <v>14</v>
      </c>
      <c r="B17">
        <v>7.2947368421052632</v>
      </c>
      <c r="C17">
        <v>0.22745968401432037</v>
      </c>
      <c r="D17">
        <v>7.2947368421052632</v>
      </c>
      <c r="E17">
        <v>0.25429596042295588</v>
      </c>
      <c r="F17">
        <v>7.2947368421052632</v>
      </c>
      <c r="G17">
        <v>0.35709780917236117</v>
      </c>
      <c r="H17">
        <v>7.2947368421052632</v>
      </c>
      <c r="I17">
        <v>0.55395667936147586</v>
      </c>
      <c r="J17">
        <v>7.2947368421052632</v>
      </c>
      <c r="K17">
        <v>0.90845319366253796</v>
      </c>
      <c r="L17">
        <v>7.2947368421052632</v>
      </c>
      <c r="M17">
        <v>1.6760364344654737</v>
      </c>
      <c r="N17">
        <v>7.2947368421052632</v>
      </c>
      <c r="O17">
        <v>6.7801071192159039</v>
      </c>
      <c r="R17">
        <v>7.2947368421052632</v>
      </c>
      <c r="S17">
        <v>0.22745968401432037</v>
      </c>
    </row>
    <row r="18" spans="1:19" x14ac:dyDescent="0.3">
      <c r="A18">
        <v>15</v>
      </c>
      <c r="B18">
        <v>7.8157894736842106</v>
      </c>
      <c r="C18">
        <v>0.11048275232315063</v>
      </c>
      <c r="D18">
        <v>7.8157894736842106</v>
      </c>
      <c r="E18">
        <v>0.13760364183758161</v>
      </c>
      <c r="F18">
        <v>7.8157894736842106</v>
      </c>
      <c r="G18">
        <v>0.24151367658239112</v>
      </c>
      <c r="H18">
        <v>7.8157894736842106</v>
      </c>
      <c r="I18">
        <v>0.44055226413821436</v>
      </c>
      <c r="J18">
        <v>7.8157894736842106</v>
      </c>
      <c r="K18">
        <v>0.79916188273765165</v>
      </c>
      <c r="L18">
        <v>7.8157894736842106</v>
      </c>
      <c r="M18">
        <v>1.5595409024684672</v>
      </c>
      <c r="N18">
        <v>7.8157894736842106</v>
      </c>
      <c r="O18">
        <v>6.4118653884601073</v>
      </c>
      <c r="R18">
        <v>7.8157894736842106</v>
      </c>
      <c r="S18">
        <v>0.11048275232315063</v>
      </c>
    </row>
    <row r="19" spans="1:19" x14ac:dyDescent="0.3">
      <c r="A19">
        <v>16</v>
      </c>
      <c r="B19">
        <v>8.3368421052631572</v>
      </c>
      <c r="C19">
        <v>-5.1433411426842213E-3</v>
      </c>
      <c r="D19">
        <v>8.3368421052631572</v>
      </c>
      <c r="E19">
        <v>2.2253985787376834E-2</v>
      </c>
      <c r="F19">
        <v>8.3368421052631572</v>
      </c>
      <c r="G19">
        <v>0.12724141221548368</v>
      </c>
      <c r="H19">
        <v>8.3368421052631572</v>
      </c>
      <c r="I19">
        <v>0.32840244637127936</v>
      </c>
      <c r="J19">
        <v>8.3368421052631572</v>
      </c>
      <c r="K19">
        <v>0.69102757857092245</v>
      </c>
      <c r="L19">
        <v>8.3368421052631572</v>
      </c>
      <c r="M19">
        <v>1.4262222006352587</v>
      </c>
      <c r="N19">
        <v>8.3368421052631572</v>
      </c>
      <c r="O19">
        <v>6.1205999680765188</v>
      </c>
      <c r="R19">
        <v>8.3368421052631572</v>
      </c>
      <c r="S19">
        <v>-5.1433411426842213E-3</v>
      </c>
    </row>
    <row r="20" spans="1:19" x14ac:dyDescent="0.3">
      <c r="A20">
        <v>17</v>
      </c>
      <c r="B20">
        <v>8.8578947368421055</v>
      </c>
      <c r="C20">
        <v>-0.1194048598408699</v>
      </c>
      <c r="D20">
        <v>8.8578947368421055</v>
      </c>
      <c r="E20">
        <v>-9.1739258427548098E-2</v>
      </c>
      <c r="F20">
        <v>8.8578947368421055</v>
      </c>
      <c r="G20">
        <v>1.4294809533921309E-2</v>
      </c>
      <c r="H20">
        <v>8.8578947368421055</v>
      </c>
      <c r="I20">
        <v>0.20456680061492399</v>
      </c>
      <c r="J20">
        <v>8.8578947368421055</v>
      </c>
      <c r="K20">
        <v>0.56819457740489432</v>
      </c>
      <c r="L20">
        <v>8.8578947368421055</v>
      </c>
      <c r="M20">
        <v>1.3106141233084618</v>
      </c>
      <c r="N20">
        <v>8.8578947368421055</v>
      </c>
      <c r="O20">
        <v>5.8355584505854479</v>
      </c>
      <c r="R20">
        <v>8.8578947368421055</v>
      </c>
      <c r="S20">
        <v>-0.1194048598408699</v>
      </c>
    </row>
    <row r="21" spans="1:19" x14ac:dyDescent="0.3">
      <c r="A21">
        <v>18</v>
      </c>
      <c r="B21">
        <v>9.378947368421052</v>
      </c>
      <c r="C21">
        <v>-0.23228843510150909</v>
      </c>
      <c r="D21">
        <v>9.378947368421052</v>
      </c>
      <c r="E21">
        <v>-0.20436270611986282</v>
      </c>
      <c r="F21">
        <v>9.378947368421052</v>
      </c>
      <c r="G21">
        <v>-0.1065264828778997</v>
      </c>
      <c r="H21">
        <v>9.378947368421052</v>
      </c>
      <c r="I21">
        <v>9.4837111710940891E-2</v>
      </c>
      <c r="J21">
        <v>9.378947368421052</v>
      </c>
      <c r="K21">
        <v>0.46224438046785077</v>
      </c>
      <c r="L21">
        <v>9.378947368421052</v>
      </c>
      <c r="M21">
        <v>1.1955974844554071</v>
      </c>
      <c r="N21">
        <v>9.378947368421052</v>
      </c>
      <c r="O21">
        <v>5.4964979395911993</v>
      </c>
      <c r="R21">
        <v>9.378947368421052</v>
      </c>
      <c r="S21">
        <v>-0.23228843510150909</v>
      </c>
    </row>
    <row r="22" spans="1:19" x14ac:dyDescent="0.3">
      <c r="A22">
        <v>19</v>
      </c>
      <c r="B22">
        <v>9.9</v>
      </c>
      <c r="C22">
        <v>-0.34378093481063843</v>
      </c>
      <c r="D22">
        <v>9.9</v>
      </c>
      <c r="E22">
        <v>-0.31560320379674911</v>
      </c>
      <c r="F22">
        <v>9.9</v>
      </c>
      <c r="G22">
        <v>-0.21686741587039765</v>
      </c>
      <c r="H22">
        <v>9.9</v>
      </c>
      <c r="I22">
        <v>-1.3593710760966313E-2</v>
      </c>
      <c r="J22">
        <v>9.9</v>
      </c>
      <c r="K22">
        <v>0.34136698803448245</v>
      </c>
      <c r="L22">
        <v>9.9</v>
      </c>
      <c r="M22">
        <v>1.081199249556807</v>
      </c>
      <c r="N22">
        <v>9.9</v>
      </c>
      <c r="O22">
        <v>5.2261017062444282</v>
      </c>
      <c r="R22">
        <v>9.9</v>
      </c>
      <c r="S22">
        <v>-0.34378093481063843</v>
      </c>
    </row>
    <row r="23" spans="1:19" x14ac:dyDescent="0.3">
      <c r="A23">
        <v>20</v>
      </c>
      <c r="B23">
        <v>10.421052631578947</v>
      </c>
      <c r="C23">
        <v>-0.45386976003646851</v>
      </c>
      <c r="D23">
        <v>10.421052631578947</v>
      </c>
      <c r="E23">
        <v>-0.42544813959251659</v>
      </c>
      <c r="F23">
        <v>10.421052631578947</v>
      </c>
      <c r="G23">
        <v>-0.32584077124519395</v>
      </c>
      <c r="H23">
        <v>10.421052631578947</v>
      </c>
      <c r="I23">
        <v>-0.12071299289371487</v>
      </c>
      <c r="J23">
        <v>10.421052631578947</v>
      </c>
      <c r="K23">
        <v>0.23767156167671968</v>
      </c>
      <c r="L23">
        <v>10.421052631578947</v>
      </c>
      <c r="M23">
        <v>0.96744606243292819</v>
      </c>
      <c r="N23">
        <v>10.421052631578947</v>
      </c>
      <c r="O23">
        <v>4.9617579358251511</v>
      </c>
      <c r="R23">
        <v>10.421052631578947</v>
      </c>
      <c r="S23">
        <v>-0.45386976003646851</v>
      </c>
    </row>
    <row r="24" spans="1:19" x14ac:dyDescent="0.3">
      <c r="A24">
        <v>21</v>
      </c>
      <c r="B24">
        <v>10.942105263157895</v>
      </c>
      <c r="C24">
        <v>-0.56254291534423828</v>
      </c>
      <c r="D24">
        <v>10.942105263157895</v>
      </c>
      <c r="E24">
        <v>-0.53388548232239263</v>
      </c>
      <c r="F24">
        <v>10.942105263157895</v>
      </c>
      <c r="G24">
        <v>-0.43343440262961741</v>
      </c>
      <c r="H24">
        <v>10.942105263157895</v>
      </c>
      <c r="I24">
        <v>-0.22650839026947511</v>
      </c>
      <c r="J24">
        <v>10.942105263157895</v>
      </c>
      <c r="K24">
        <v>0.1352073110770485</v>
      </c>
      <c r="L24">
        <v>10.942105263157895</v>
      </c>
      <c r="M24">
        <v>0.85436485873168577</v>
      </c>
      <c r="N24">
        <v>10.942105263157895</v>
      </c>
      <c r="O24">
        <v>4.650348726443724</v>
      </c>
      <c r="R24">
        <v>10.942105263157895</v>
      </c>
      <c r="S24">
        <v>-0.56254291534423828</v>
      </c>
    </row>
    <row r="25" spans="1:19" x14ac:dyDescent="0.3">
      <c r="A25">
        <v>22</v>
      </c>
      <c r="B25">
        <v>11.463157894736842</v>
      </c>
      <c r="C25">
        <v>-0.66978895664215088</v>
      </c>
      <c r="D25">
        <v>11.463157894736842</v>
      </c>
      <c r="E25">
        <v>-0.64090378141668225</v>
      </c>
      <c r="F25">
        <v>11.463157894736842</v>
      </c>
      <c r="G25">
        <v>-0.53963680117739221</v>
      </c>
      <c r="H25">
        <v>11.463157894736842</v>
      </c>
      <c r="I25">
        <v>-0.33096828261816558</v>
      </c>
      <c r="J25">
        <v>11.463157894736842</v>
      </c>
      <c r="K25">
        <v>3.3985978716285302E-2</v>
      </c>
      <c r="L25">
        <v>11.463157894736842</v>
      </c>
      <c r="M25">
        <v>0.74198185287700946</v>
      </c>
      <c r="N25">
        <v>11.463157894736842</v>
      </c>
      <c r="O25">
        <v>4.3998293757071281</v>
      </c>
      <c r="R25">
        <v>11.463157894736842</v>
      </c>
      <c r="S25">
        <v>-0.66978895664215088</v>
      </c>
    </row>
    <row r="26" spans="1:19" x14ac:dyDescent="0.3">
      <c r="A26">
        <v>23</v>
      </c>
      <c r="B26">
        <v>11.98421052631579</v>
      </c>
      <c r="C26">
        <v>-0.77559745311737061</v>
      </c>
      <c r="D26">
        <v>11.98421052631579</v>
      </c>
      <c r="E26">
        <v>-0.74649253905196078</v>
      </c>
      <c r="F26">
        <v>11.98421052631579</v>
      </c>
      <c r="G26">
        <v>-0.64443733649311885</v>
      </c>
      <c r="H26">
        <v>11.98421052631579</v>
      </c>
      <c r="I26">
        <v>-0.43408184037761655</v>
      </c>
      <c r="J26">
        <v>11.98421052631579</v>
      </c>
      <c r="K26">
        <v>-8.2645752294528724E-2</v>
      </c>
      <c r="L26">
        <v>11.98421052631579</v>
      </c>
      <c r="M26">
        <v>0.63032285062798343</v>
      </c>
      <c r="N26">
        <v>11.98421052631579</v>
      </c>
      <c r="O26">
        <v>4.1549726624118337</v>
      </c>
      <c r="R26">
        <v>11.98421052631579</v>
      </c>
      <c r="S26">
        <v>-0.77559745311737061</v>
      </c>
    </row>
    <row r="27" spans="1:19" x14ac:dyDescent="0.3">
      <c r="A27">
        <v>24</v>
      </c>
      <c r="B27">
        <v>12.505263157894737</v>
      </c>
      <c r="C27">
        <v>-0.87995821237564087</v>
      </c>
      <c r="D27">
        <v>12.505263157894737</v>
      </c>
      <c r="E27">
        <v>-0.85064156323151352</v>
      </c>
      <c r="F27">
        <v>12.505263157894737</v>
      </c>
      <c r="G27">
        <v>-0.74782574468800989</v>
      </c>
      <c r="H27">
        <v>12.505263157894737</v>
      </c>
      <c r="I27">
        <v>-0.53583864681631521</v>
      </c>
      <c r="J27">
        <v>12.505263157894737</v>
      </c>
      <c r="K27">
        <v>-0.18149263630947599</v>
      </c>
      <c r="L27">
        <v>12.505263157894737</v>
      </c>
      <c r="M27">
        <v>0.53823256738881275</v>
      </c>
      <c r="N27">
        <v>12.505263157894737</v>
      </c>
      <c r="O27">
        <v>3.8689412340471687</v>
      </c>
      <c r="R27">
        <v>12.505263157894737</v>
      </c>
      <c r="S27">
        <v>-0.87995821237564087</v>
      </c>
    </row>
    <row r="28" spans="1:19" x14ac:dyDescent="0.3">
      <c r="A28">
        <v>25</v>
      </c>
      <c r="B28">
        <v>13.026315789473685</v>
      </c>
      <c r="C28">
        <v>-0.98286205530166626</v>
      </c>
      <c r="D28">
        <v>13.026315789473685</v>
      </c>
      <c r="E28">
        <v>-0.95334162775146958</v>
      </c>
      <c r="F28">
        <v>13.026315789473685</v>
      </c>
      <c r="G28">
        <v>-0.84979267356309141</v>
      </c>
      <c r="H28">
        <v>13.026315789473685</v>
      </c>
      <c r="I28">
        <v>-0.64994187205525811</v>
      </c>
      <c r="J28">
        <v>13.026315789473685</v>
      </c>
      <c r="K28">
        <v>-0.27906104147849942</v>
      </c>
      <c r="L28">
        <v>13.026315789473685</v>
      </c>
      <c r="M28">
        <v>0.42825346910925655</v>
      </c>
      <c r="N28">
        <v>13.026315789473685</v>
      </c>
      <c r="O28">
        <v>3.6367031682703415</v>
      </c>
      <c r="R28">
        <v>13.026315789473685</v>
      </c>
      <c r="S28">
        <v>-0.98286205530166626</v>
      </c>
    </row>
    <row r="29" spans="1:19" x14ac:dyDescent="0.3">
      <c r="A29">
        <v>26</v>
      </c>
      <c r="B29">
        <v>13.547368421052632</v>
      </c>
      <c r="C29">
        <v>-1.0843009948730469</v>
      </c>
      <c r="D29">
        <v>13.547368421052632</v>
      </c>
      <c r="E29">
        <v>-1.0545846930199265</v>
      </c>
      <c r="F29">
        <v>13.547368421052632</v>
      </c>
      <c r="G29">
        <v>-0.95032992371704383</v>
      </c>
      <c r="H29">
        <v>13.547368421052632</v>
      </c>
      <c r="I29">
        <v>-0.74905774312526585</v>
      </c>
      <c r="J29">
        <v>13.547368421052632</v>
      </c>
      <c r="K29">
        <v>-0.37534215851081509</v>
      </c>
      <c r="L29">
        <v>13.547368421052632</v>
      </c>
      <c r="M29">
        <v>0.3190670646822924</v>
      </c>
      <c r="N29">
        <v>13.547368421052632</v>
      </c>
      <c r="O29">
        <v>3.4095875023085673</v>
      </c>
      <c r="R29">
        <v>13.547368421052632</v>
      </c>
      <c r="S29">
        <v>-1.0843009948730469</v>
      </c>
    </row>
    <row r="30" spans="1:19" x14ac:dyDescent="0.3">
      <c r="A30">
        <v>27</v>
      </c>
      <c r="B30">
        <v>14.06842105263158</v>
      </c>
      <c r="C30">
        <v>-1.184267520904541</v>
      </c>
      <c r="D30">
        <v>14.06842105263158</v>
      </c>
      <c r="E30">
        <v>-1.1543632211356138</v>
      </c>
      <c r="F30">
        <v>14.06842105263158</v>
      </c>
      <c r="G30">
        <v>-1.0494298349742599</v>
      </c>
      <c r="H30">
        <v>14.06842105263158</v>
      </c>
      <c r="I30">
        <v>-0.84678745743066053</v>
      </c>
      <c r="J30">
        <v>14.06842105263158</v>
      </c>
      <c r="K30">
        <v>-0.47032775185869491</v>
      </c>
      <c r="L30">
        <v>14.06842105263158</v>
      </c>
      <c r="M30">
        <v>0.23000033141673526</v>
      </c>
      <c r="N30">
        <v>14.06842105263158</v>
      </c>
      <c r="O30">
        <v>3.2291752054191791</v>
      </c>
      <c r="R30">
        <v>14.06842105263158</v>
      </c>
      <c r="S30">
        <v>-1.184267520904541</v>
      </c>
    </row>
    <row r="31" spans="1:19" x14ac:dyDescent="0.3">
      <c r="A31">
        <v>28</v>
      </c>
      <c r="B31">
        <v>14.589473684210526</v>
      </c>
      <c r="C31">
        <v>-1.2827548980712891</v>
      </c>
      <c r="D31">
        <v>14.589473684210526</v>
      </c>
      <c r="E31">
        <v>-1.2526704288827897</v>
      </c>
      <c r="F31">
        <v>14.589473684210526</v>
      </c>
      <c r="G31">
        <v>-1.1470854813103091</v>
      </c>
      <c r="H31">
        <v>14.589473684210526</v>
      </c>
      <c r="I31">
        <v>-0.94312384855193787</v>
      </c>
      <c r="J31">
        <v>14.589473684210526</v>
      </c>
      <c r="K31">
        <v>-0.56401031033696924</v>
      </c>
      <c r="L31">
        <v>14.589473684210526</v>
      </c>
      <c r="M31">
        <v>0.12260748433503933</v>
      </c>
      <c r="N31">
        <v>14.589473684210526</v>
      </c>
      <c r="O31">
        <v>3.0102816333276525</v>
      </c>
      <c r="R31">
        <v>14.589473684210526</v>
      </c>
      <c r="S31">
        <v>-1.2827548980712891</v>
      </c>
    </row>
    <row r="32" spans="1:19" x14ac:dyDescent="0.3">
      <c r="A32">
        <v>29</v>
      </c>
      <c r="B32">
        <v>15.110526315789473</v>
      </c>
      <c r="C32">
        <v>-1.3797578811645508</v>
      </c>
      <c r="D32">
        <v>15.110526315789473</v>
      </c>
      <c r="E32">
        <v>-1.3495010142910289</v>
      </c>
      <c r="F32">
        <v>15.110526315789473</v>
      </c>
      <c r="G32">
        <v>-1.2432913704509005</v>
      </c>
      <c r="H32">
        <v>15.110526315789473</v>
      </c>
      <c r="I32">
        <v>-1.0380610852989149</v>
      </c>
      <c r="J32">
        <v>15.110526315789473</v>
      </c>
      <c r="K32">
        <v>-0.65638347279458276</v>
      </c>
      <c r="L32">
        <v>15.110526315789473</v>
      </c>
      <c r="M32">
        <v>3.5681404180252056E-2</v>
      </c>
      <c r="N32">
        <v>15.110526315789473</v>
      </c>
      <c r="O32">
        <v>2.7960394561363531</v>
      </c>
      <c r="R32">
        <v>15.110526315789473</v>
      </c>
      <c r="S32">
        <v>-1.3797578811645508</v>
      </c>
    </row>
    <row r="33" spans="1:19" x14ac:dyDescent="0.3">
      <c r="A33">
        <v>30</v>
      </c>
      <c r="B33">
        <v>15.631578947368421</v>
      </c>
      <c r="C33">
        <v>-1.4752717018127441</v>
      </c>
      <c r="D33">
        <v>15.631578947368421</v>
      </c>
      <c r="E33">
        <v>-1.4448501566480529</v>
      </c>
      <c r="F33">
        <v>15.631578947368421</v>
      </c>
      <c r="G33">
        <v>-1.3380425080767886</v>
      </c>
      <c r="H33">
        <v>15.631578947368421</v>
      </c>
      <c r="I33">
        <v>-1.1315938691517835</v>
      </c>
      <c r="J33">
        <v>15.631578947368421</v>
      </c>
      <c r="K33">
        <v>-0.76493123537204055</v>
      </c>
      <c r="L33">
        <v>15.631578947368421</v>
      </c>
      <c r="M33">
        <v>-5.0074862191468228E-2</v>
      </c>
      <c r="N33">
        <v>15.631578947368421</v>
      </c>
      <c r="O33">
        <v>2.6242255479671206</v>
      </c>
      <c r="R33">
        <v>15.631578947368421</v>
      </c>
      <c r="S33">
        <v>-1.4752717018127441</v>
      </c>
    </row>
    <row r="34" spans="1:19" x14ac:dyDescent="0.3">
      <c r="A34">
        <v>31</v>
      </c>
      <c r="B34">
        <v>16.152631578947368</v>
      </c>
      <c r="C34">
        <v>-1.5692923069000244</v>
      </c>
      <c r="D34">
        <v>16.152631578947368</v>
      </c>
      <c r="E34">
        <v>-1.5387137446010375</v>
      </c>
      <c r="F34">
        <v>16.152631578947368</v>
      </c>
      <c r="G34">
        <v>-1.4313346102942663</v>
      </c>
      <c r="H34">
        <v>16.152631578947368</v>
      </c>
      <c r="I34">
        <v>-1.2237176226150184</v>
      </c>
      <c r="J34">
        <v>16.152631578947368</v>
      </c>
      <c r="K34">
        <v>-0.85478400307251001</v>
      </c>
      <c r="L34">
        <v>16.152631578947368</v>
      </c>
      <c r="M34">
        <v>-0.15459722504711404</v>
      </c>
      <c r="N34">
        <v>16.152631578947368</v>
      </c>
      <c r="O34">
        <v>2.4545362017720018</v>
      </c>
      <c r="R34">
        <v>16.152631578947368</v>
      </c>
      <c r="S34">
        <v>-1.5692923069000244</v>
      </c>
    </row>
    <row r="35" spans="1:19" x14ac:dyDescent="0.3">
      <c r="A35">
        <v>32</v>
      </c>
      <c r="B35">
        <v>16.673684210526314</v>
      </c>
      <c r="C35">
        <v>-1.6618177890777588</v>
      </c>
      <c r="D35">
        <v>16.673684210526314</v>
      </c>
      <c r="E35">
        <v>-1.6310898125889712</v>
      </c>
      <c r="F35">
        <v>16.673684210526314</v>
      </c>
      <c r="G35">
        <v>-1.523165472817289</v>
      </c>
      <c r="H35">
        <v>16.673684210526314</v>
      </c>
      <c r="I35">
        <v>-1.3144296926621926</v>
      </c>
      <c r="J35">
        <v>16.673684210526314</v>
      </c>
      <c r="K35">
        <v>-0.9433093075584521</v>
      </c>
      <c r="L35">
        <v>16.673684210526314</v>
      </c>
      <c r="M35">
        <v>-0.23815806341545695</v>
      </c>
      <c r="N35">
        <v>16.673684210526314</v>
      </c>
      <c r="O35">
        <v>2.2869367358735815</v>
      </c>
      <c r="R35">
        <v>16.673684210526314</v>
      </c>
      <c r="S35">
        <v>-1.6618177890777588</v>
      </c>
    </row>
    <row r="36" spans="1:19" x14ac:dyDescent="0.3">
      <c r="A36">
        <v>33</v>
      </c>
      <c r="B36">
        <v>17.194736842105264</v>
      </c>
      <c r="C36">
        <v>-1.7528454065322876</v>
      </c>
      <c r="D36">
        <v>17.194736842105264</v>
      </c>
      <c r="E36">
        <v>-1.7219755661435721</v>
      </c>
      <c r="F36">
        <v>17.194736842105264</v>
      </c>
      <c r="G36">
        <v>-1.6135321363148891</v>
      </c>
      <c r="H36">
        <v>17.194736842105264</v>
      </c>
      <c r="I36">
        <v>-1.4037268347511946</v>
      </c>
      <c r="J36">
        <v>17.194736842105264</v>
      </c>
      <c r="K36">
        <v>-1.0305034894745679</v>
      </c>
      <c r="L36">
        <v>17.194736842105264</v>
      </c>
      <c r="M36">
        <v>-0.32053147366258872</v>
      </c>
      <c r="N36">
        <v>17.194736842105264</v>
      </c>
      <c r="O36">
        <v>2.1572838963929732</v>
      </c>
      <c r="R36">
        <v>17.194736842105264</v>
      </c>
      <c r="S36">
        <v>-1.7528454065322876</v>
      </c>
    </row>
    <row r="37" spans="1:19" x14ac:dyDescent="0.3">
      <c r="A37">
        <v>34</v>
      </c>
      <c r="B37">
        <v>17.715789473684211</v>
      </c>
      <c r="C37">
        <v>-1.842374324798584</v>
      </c>
      <c r="D37">
        <v>17.715789473684211</v>
      </c>
      <c r="E37">
        <v>-1.8113701137488452</v>
      </c>
      <c r="F37">
        <v>17.715789473684211</v>
      </c>
      <c r="G37">
        <v>-1.7024334866898252</v>
      </c>
      <c r="H37">
        <v>17.715789473684211</v>
      </c>
      <c r="I37">
        <v>-1.4916075230677068</v>
      </c>
      <c r="J37">
        <v>17.715789473684211</v>
      </c>
      <c r="K37">
        <v>-1.1163643766154792</v>
      </c>
      <c r="L37">
        <v>17.715789473684211</v>
      </c>
      <c r="M37">
        <v>-0.42207560583595649</v>
      </c>
      <c r="N37">
        <v>17.715789473684211</v>
      </c>
      <c r="O37">
        <v>1.9929781110350056</v>
      </c>
      <c r="R37">
        <v>17.715789473684211</v>
      </c>
      <c r="S37">
        <v>-1.842374324798584</v>
      </c>
    </row>
    <row r="38" spans="1:19" x14ac:dyDescent="0.3">
      <c r="A38">
        <v>35</v>
      </c>
      <c r="B38">
        <v>18.236842105263158</v>
      </c>
      <c r="C38">
        <v>-1.9304046630859375</v>
      </c>
      <c r="D38">
        <v>18.236842105263158</v>
      </c>
      <c r="E38">
        <v>-1.8992734541824885</v>
      </c>
      <c r="F38">
        <v>18.236842105263158</v>
      </c>
      <c r="G38">
        <v>-1.7898692502947759</v>
      </c>
      <c r="H38">
        <v>18.236842105263158</v>
      </c>
      <c r="I38">
        <v>-1.5780710416056356</v>
      </c>
      <c r="J38">
        <v>18.236842105263158</v>
      </c>
      <c r="K38">
        <v>-1.2008906011077969</v>
      </c>
      <c r="L38">
        <v>18.236842105263158</v>
      </c>
      <c r="M38">
        <v>-0.50221266273055287</v>
      </c>
      <c r="N38">
        <v>18.236842105263158</v>
      </c>
      <c r="O38">
        <v>1.8654301379938547</v>
      </c>
      <c r="R38">
        <v>18.236842105263158</v>
      </c>
      <c r="S38">
        <v>-1.9304046630859375</v>
      </c>
    </row>
    <row r="39" spans="1:19" x14ac:dyDescent="0.3">
      <c r="A39">
        <v>36</v>
      </c>
      <c r="B39">
        <v>18.757894736842104</v>
      </c>
      <c r="C39">
        <v>-2.0169377326965332</v>
      </c>
      <c r="D39">
        <v>18.757894736842104</v>
      </c>
      <c r="E39">
        <v>-1.9856868546152349</v>
      </c>
      <c r="F39">
        <v>18.757894736842104</v>
      </c>
      <c r="G39">
        <v>-1.8758404519012013</v>
      </c>
      <c r="H39">
        <v>18.757894736842104</v>
      </c>
      <c r="I39">
        <v>-1.6631179413340527</v>
      </c>
      <c r="J39">
        <v>18.757894736842104</v>
      </c>
      <c r="K39">
        <v>-1.2840819426117991</v>
      </c>
      <c r="L39">
        <v>18.757894736842104</v>
      </c>
      <c r="M39">
        <v>-0.58115206998527003</v>
      </c>
      <c r="N39">
        <v>18.757894736842104</v>
      </c>
      <c r="O39">
        <v>1.7387619645577572</v>
      </c>
      <c r="R39">
        <v>18.757894736842104</v>
      </c>
      <c r="S39">
        <v>-2.0169377326965332</v>
      </c>
    </row>
    <row r="40" spans="1:19" x14ac:dyDescent="0.3">
      <c r="A40">
        <v>37</v>
      </c>
      <c r="B40">
        <v>19.278947368421054</v>
      </c>
      <c r="C40">
        <v>-2.1019740104675293</v>
      </c>
      <c r="D40">
        <v>19.278947368421054</v>
      </c>
      <c r="E40">
        <v>-2.0706107859718816</v>
      </c>
      <c r="F40">
        <v>19.278947368421054</v>
      </c>
      <c r="G40">
        <v>-1.9603474188841363</v>
      </c>
      <c r="H40">
        <v>19.278947368421054</v>
      </c>
      <c r="I40">
        <v>-1.7467482457363941</v>
      </c>
      <c r="J40">
        <v>19.278947368421054</v>
      </c>
      <c r="K40">
        <v>-1.3659379236288909</v>
      </c>
      <c r="L40">
        <v>19.278947368421054</v>
      </c>
      <c r="M40">
        <v>-0.65889269866893974</v>
      </c>
      <c r="N40">
        <v>19.278947368421054</v>
      </c>
      <c r="O40">
        <v>1.6129881504801533</v>
      </c>
      <c r="R40">
        <v>19.278947368421054</v>
      </c>
      <c r="S40">
        <v>-2.1019740104675293</v>
      </c>
    </row>
    <row r="41" spans="1:19" x14ac:dyDescent="0.3">
      <c r="A41">
        <v>38</v>
      </c>
      <c r="B41">
        <v>19.8</v>
      </c>
      <c r="C41">
        <v>-2.1855175495147705</v>
      </c>
      <c r="D41">
        <v>19.8</v>
      </c>
      <c r="E41">
        <v>-2.1540490991771284</v>
      </c>
      <c r="F41">
        <v>19.8</v>
      </c>
      <c r="G41">
        <v>-2.0433935866039654</v>
      </c>
      <c r="H41">
        <v>19.8</v>
      </c>
      <c r="I41">
        <v>-1.8289647330209993</v>
      </c>
      <c r="J41">
        <v>19.8</v>
      </c>
      <c r="K41">
        <v>-1.4464603465539025</v>
      </c>
      <c r="L41">
        <v>19.8</v>
      </c>
      <c r="M41">
        <v>-0.73543504746783528</v>
      </c>
      <c r="N41">
        <v>19.8</v>
      </c>
      <c r="O41">
        <v>1.4881223743551641</v>
      </c>
      <c r="R41">
        <v>19.8</v>
      </c>
      <c r="S41">
        <v>-2.1855175495147705</v>
      </c>
    </row>
    <row r="42" spans="1:19" x14ac:dyDescent="0.3">
      <c r="A42">
        <v>39</v>
      </c>
      <c r="B42">
        <v>20.321052631578947</v>
      </c>
      <c r="C42">
        <v>-2.2675704956054688</v>
      </c>
      <c r="D42">
        <v>20.321052631578947</v>
      </c>
      <c r="E42">
        <v>-2.2360039674369485</v>
      </c>
      <c r="F42">
        <v>20.321052631578947</v>
      </c>
      <c r="G42">
        <v>-2.1249809930265338</v>
      </c>
      <c r="H42">
        <v>20.321052631578947</v>
      </c>
      <c r="I42">
        <v>-1.9097691114439619</v>
      </c>
      <c r="J42">
        <v>20.321052631578947</v>
      </c>
      <c r="K42">
        <v>-1.5256503418973502</v>
      </c>
      <c r="L42">
        <v>20.321052631578947</v>
      </c>
      <c r="M42">
        <v>-0.8107794291099224</v>
      </c>
      <c r="N42">
        <v>20.321052631578947</v>
      </c>
      <c r="O42">
        <v>1.3978601219349243</v>
      </c>
      <c r="R42">
        <v>20.321052631578947</v>
      </c>
      <c r="S42">
        <v>-2.2675704956054688</v>
      </c>
    </row>
    <row r="43" spans="1:19" x14ac:dyDescent="0.3">
      <c r="A43">
        <v>40</v>
      </c>
      <c r="B43">
        <v>20.842105263157894</v>
      </c>
      <c r="C43">
        <v>-2.3481385707855225</v>
      </c>
      <c r="D43">
        <v>20.842105263157894</v>
      </c>
      <c r="E43">
        <v>-2.3164809764107042</v>
      </c>
      <c r="F43">
        <v>20.842105263157894</v>
      </c>
      <c r="G43">
        <v>-2.2051148440056538</v>
      </c>
      <c r="H43">
        <v>20.842105263157894</v>
      </c>
      <c r="I43">
        <v>-1.9743030395670025</v>
      </c>
      <c r="J43">
        <v>20.842105263157894</v>
      </c>
      <c r="K43">
        <v>-1.6035114111385607</v>
      </c>
      <c r="L43">
        <v>20.842105263157894</v>
      </c>
      <c r="M43">
        <v>-0.88492787304204468</v>
      </c>
      <c r="N43">
        <v>20.842105263157894</v>
      </c>
      <c r="O43">
        <v>1.3081786978232017</v>
      </c>
      <c r="R43">
        <v>20.842105263157894</v>
      </c>
      <c r="S43">
        <v>-2.3481385707855225</v>
      </c>
    </row>
    <row r="44" spans="1:19" x14ac:dyDescent="0.3">
      <c r="A44">
        <v>41</v>
      </c>
      <c r="B44">
        <v>21.36315789473684</v>
      </c>
      <c r="C44">
        <v>-2.4272251129150391</v>
      </c>
      <c r="D44">
        <v>21.36315789473684</v>
      </c>
      <c r="E44">
        <v>-2.3954833913687659</v>
      </c>
      <c r="F44">
        <v>21.36315789473684</v>
      </c>
      <c r="G44">
        <v>-2.2837981997221455</v>
      </c>
      <c r="H44">
        <v>21.36315789473684</v>
      </c>
      <c r="I44">
        <v>-2.0522441365984485</v>
      </c>
      <c r="J44">
        <v>21.36315789473684</v>
      </c>
      <c r="K44">
        <v>-1.6800456976585663</v>
      </c>
      <c r="L44">
        <v>21.36315789473684</v>
      </c>
      <c r="M44">
        <v>-0.95788177360339488</v>
      </c>
      <c r="N44">
        <v>21.36315789473684</v>
      </c>
      <c r="O44">
        <v>1.1854363115433357</v>
      </c>
      <c r="R44">
        <v>21.36315789473684</v>
      </c>
      <c r="S44">
        <v>-2.4272251129150391</v>
      </c>
    </row>
    <row r="45" spans="1:19" x14ac:dyDescent="0.3">
      <c r="A45">
        <v>42</v>
      </c>
      <c r="B45">
        <v>21.88421052631579</v>
      </c>
      <c r="C45">
        <v>-2.5048360824584961</v>
      </c>
      <c r="D45">
        <v>21.88421052631579</v>
      </c>
      <c r="E45">
        <v>-2.473017107360644</v>
      </c>
      <c r="F45">
        <v>21.88421052631579</v>
      </c>
      <c r="G45">
        <v>-2.3610366702221262</v>
      </c>
      <c r="H45">
        <v>21.88421052631579</v>
      </c>
      <c r="I45">
        <v>-2.1287884879067573</v>
      </c>
      <c r="J45">
        <v>21.88421052631579</v>
      </c>
      <c r="K45">
        <v>-1.7366391931348408</v>
      </c>
      <c r="L45">
        <v>21.88421052631579</v>
      </c>
      <c r="M45">
        <v>-1.0296440204079038</v>
      </c>
      <c r="N45">
        <v>21.88421052631579</v>
      </c>
      <c r="O45">
        <v>1.0969768758783971</v>
      </c>
      <c r="R45">
        <v>21.88421052631579</v>
      </c>
      <c r="S45">
        <v>-2.5048360824584961</v>
      </c>
    </row>
    <row r="46" spans="1:19" x14ac:dyDescent="0.3">
      <c r="A46">
        <v>43</v>
      </c>
      <c r="B46">
        <v>22.405263157894737</v>
      </c>
      <c r="C46">
        <v>-2.5809786319732666</v>
      </c>
      <c r="D46">
        <v>22.405263157894737</v>
      </c>
      <c r="E46">
        <v>-2.5490891640566327</v>
      </c>
      <c r="F46">
        <v>22.405263157894737</v>
      </c>
      <c r="G46">
        <v>-2.4368369525853066</v>
      </c>
      <c r="H46">
        <v>22.405263157894737</v>
      </c>
      <c r="I46">
        <v>-2.2039421363154648</v>
      </c>
      <c r="J46">
        <v>22.405263157894737</v>
      </c>
      <c r="K46">
        <v>-1.8104632018106883</v>
      </c>
      <c r="L46">
        <v>22.405263157894737</v>
      </c>
      <c r="M46">
        <v>-1.1002182760688453</v>
      </c>
      <c r="N46">
        <v>22.405263157894737</v>
      </c>
      <c r="O46">
        <v>1.0427538637538019</v>
      </c>
      <c r="R46">
        <v>22.405263157894737</v>
      </c>
      <c r="S46">
        <v>-2.5809786319732666</v>
      </c>
    </row>
    <row r="47" spans="1:19" x14ac:dyDescent="0.3">
      <c r="A47">
        <v>44</v>
      </c>
      <c r="B47">
        <v>22.926315789473684</v>
      </c>
      <c r="C47">
        <v>-2.6556596755981445</v>
      </c>
      <c r="D47">
        <v>22.926315789473684</v>
      </c>
      <c r="E47">
        <v>-2.6237064452668841</v>
      </c>
      <c r="F47">
        <v>22.926315789473684</v>
      </c>
      <c r="G47">
        <v>-2.5005763841217137</v>
      </c>
      <c r="H47">
        <v>22.926315789473684</v>
      </c>
      <c r="I47">
        <v>-2.2777111660934106</v>
      </c>
      <c r="J47">
        <v>22.926315789473684</v>
      </c>
      <c r="K47">
        <v>-1.8829784541358288</v>
      </c>
      <c r="L47">
        <v>22.926315789473684</v>
      </c>
      <c r="M47">
        <v>-1.1696084961958295</v>
      </c>
      <c r="N47">
        <v>22.926315789473684</v>
      </c>
      <c r="O47">
        <v>0.95552636890883891</v>
      </c>
      <c r="R47">
        <v>22.926315789473684</v>
      </c>
      <c r="S47">
        <v>-2.6556596755981445</v>
      </c>
    </row>
    <row r="48" spans="1:19" x14ac:dyDescent="0.3">
      <c r="A48">
        <v>45</v>
      </c>
      <c r="B48">
        <v>23.44736842105263</v>
      </c>
      <c r="C48">
        <v>-2.7288863658905029</v>
      </c>
      <c r="D48">
        <v>23.44736842105263</v>
      </c>
      <c r="E48">
        <v>-2.6968759090558669</v>
      </c>
      <c r="F48">
        <v>23.44736842105263</v>
      </c>
      <c r="G48">
        <v>-2.5734973200933817</v>
      </c>
      <c r="H48">
        <v>23.44736842105263</v>
      </c>
      <c r="I48">
        <v>-2.3501015636489715</v>
      </c>
      <c r="J48">
        <v>23.44736842105263</v>
      </c>
      <c r="K48">
        <v>-1.9541901037918747</v>
      </c>
      <c r="L48">
        <v>23.44736842105263</v>
      </c>
      <c r="M48">
        <v>-1.2378187557532154</v>
      </c>
      <c r="N48">
        <v>23.44736842105263</v>
      </c>
      <c r="O48">
        <v>0.86894141457059071</v>
      </c>
      <c r="R48">
        <v>23.44736842105263</v>
      </c>
      <c r="S48">
        <v>-2.7288863658905029</v>
      </c>
    </row>
    <row r="49" spans="1:19" x14ac:dyDescent="0.3">
      <c r="A49">
        <v>46</v>
      </c>
      <c r="B49">
        <v>23.96842105263158</v>
      </c>
      <c r="C49">
        <v>-2.8006670475006104</v>
      </c>
      <c r="D49">
        <v>23.96842105263158</v>
      </c>
      <c r="E49">
        <v>-2.7686058812540022</v>
      </c>
      <c r="F49">
        <v>23.96842105263158</v>
      </c>
      <c r="G49">
        <v>-2.6450034778070095</v>
      </c>
      <c r="H49">
        <v>23.96842105263158</v>
      </c>
      <c r="I49">
        <v>-2.4211208253477063</v>
      </c>
      <c r="J49">
        <v>23.96842105263158</v>
      </c>
      <c r="K49">
        <v>-2.0241047105371015</v>
      </c>
      <c r="L49">
        <v>23.96842105263158</v>
      </c>
      <c r="M49">
        <v>-1.3048542195202733</v>
      </c>
      <c r="N49">
        <v>23.96842105263158</v>
      </c>
      <c r="O49">
        <v>0.81684432746573599</v>
      </c>
      <c r="R49">
        <v>23.96842105263158</v>
      </c>
      <c r="S49">
        <v>-2.8006670475006104</v>
      </c>
    </row>
    <row r="50" spans="1:19" x14ac:dyDescent="0.3">
      <c r="A50">
        <v>47</v>
      </c>
      <c r="B50">
        <v>24.489473684210527</v>
      </c>
      <c r="C50">
        <v>-2.87101149559021</v>
      </c>
      <c r="D50">
        <v>24.489473684210527</v>
      </c>
      <c r="E50">
        <v>-2.8333114023578911</v>
      </c>
      <c r="F50">
        <v>24.489473684210527</v>
      </c>
      <c r="G50">
        <v>-2.7151041806579768</v>
      </c>
      <c r="H50">
        <v>24.489473684210527</v>
      </c>
      <c r="I50">
        <v>-2.4907776139538873</v>
      </c>
      <c r="J50">
        <v>24.489473684210527</v>
      </c>
      <c r="K50">
        <v>-2.0927298554794609</v>
      </c>
      <c r="L50">
        <v>24.489473684210527</v>
      </c>
      <c r="M50">
        <v>-1.3487352378232353</v>
      </c>
      <c r="N50">
        <v>24.489473684210527</v>
      </c>
      <c r="O50">
        <v>0.73153442210904873</v>
      </c>
      <c r="R50">
        <v>24.489473684210527</v>
      </c>
      <c r="S50">
        <v>-2.87101149559021</v>
      </c>
    </row>
    <row r="51" spans="1:19" x14ac:dyDescent="0.3">
      <c r="A51">
        <v>48</v>
      </c>
      <c r="B51">
        <v>25.010526315789473</v>
      </c>
      <c r="C51">
        <v>-2.9399278163909912</v>
      </c>
      <c r="D51">
        <v>25.010526315789473</v>
      </c>
      <c r="E51">
        <v>-2.9021827183174178</v>
      </c>
      <c r="F51">
        <v>25.010526315789473</v>
      </c>
      <c r="G51">
        <v>-2.783807111671492</v>
      </c>
      <c r="H51">
        <v>25.010526315789473</v>
      </c>
      <c r="I51">
        <v>-2.5590791371423185</v>
      </c>
      <c r="J51">
        <v>25.010526315789473</v>
      </c>
      <c r="K51">
        <v>-2.1600720161408864</v>
      </c>
      <c r="L51">
        <v>25.010526315789473</v>
      </c>
      <c r="M51">
        <v>-1.4133381593994963</v>
      </c>
      <c r="N51">
        <v>25.010526315789473</v>
      </c>
      <c r="O51">
        <v>0.68095650521719742</v>
      </c>
      <c r="R51">
        <v>25.010526315789473</v>
      </c>
      <c r="S51">
        <v>-2.9399278163909912</v>
      </c>
    </row>
    <row r="52" spans="1:19" x14ac:dyDescent="0.3">
      <c r="A52">
        <v>49</v>
      </c>
      <c r="B52">
        <v>25.53157894736842</v>
      </c>
      <c r="C52">
        <v>-3.0074265003204346</v>
      </c>
      <c r="D52">
        <v>25.53157894736842</v>
      </c>
      <c r="E52">
        <v>-2.969643683413532</v>
      </c>
      <c r="F52">
        <v>25.53157894736842</v>
      </c>
      <c r="G52">
        <v>-2.8511222431630303</v>
      </c>
      <c r="H52">
        <v>25.53157894736842</v>
      </c>
      <c r="I52">
        <v>-2.6260346669059595</v>
      </c>
      <c r="J52">
        <v>25.53157894736842</v>
      </c>
      <c r="K52">
        <v>-2.2069801676276706</v>
      </c>
      <c r="L52">
        <v>25.53157894736842</v>
      </c>
      <c r="M52">
        <v>-1.4767876025241993</v>
      </c>
      <c r="N52">
        <v>25.53157894736842</v>
      </c>
      <c r="O52">
        <v>0.63127111237831712</v>
      </c>
      <c r="R52">
        <v>25.53157894736842</v>
      </c>
      <c r="S52">
        <v>-3.0074265003204346</v>
      </c>
    </row>
    <row r="53" spans="1:19" x14ac:dyDescent="0.3">
      <c r="A53">
        <v>50</v>
      </c>
      <c r="B53">
        <v>26.05263157894737</v>
      </c>
      <c r="C53">
        <v>-3.0735175609588623</v>
      </c>
      <c r="D53">
        <v>26.05263157894737</v>
      </c>
      <c r="E53">
        <v>-3.0357042645796484</v>
      </c>
      <c r="F53">
        <v>26.05263157894737</v>
      </c>
      <c r="G53">
        <v>-2.9170592792066512</v>
      </c>
      <c r="H53">
        <v>26.05263157894737</v>
      </c>
      <c r="I53">
        <v>-2.676199929008654</v>
      </c>
      <c r="J53">
        <v>26.05263157894737</v>
      </c>
      <c r="K53">
        <v>-2.271733359634879</v>
      </c>
      <c r="L53">
        <v>26.05263157894737</v>
      </c>
      <c r="M53">
        <v>-1.5390904972031632</v>
      </c>
      <c r="N53">
        <v>26.05263157894737</v>
      </c>
      <c r="O53">
        <v>0.58247294788800508</v>
      </c>
      <c r="R53">
        <v>26.05263157894737</v>
      </c>
      <c r="S53">
        <v>-3.0735175609588623</v>
      </c>
    </row>
    <row r="54" spans="1:19" x14ac:dyDescent="0.3">
      <c r="A54">
        <v>51</v>
      </c>
      <c r="B54">
        <v>26.573684210526316</v>
      </c>
      <c r="C54">
        <v>-3.1382119655609131</v>
      </c>
      <c r="D54">
        <v>26.573684210526316</v>
      </c>
      <c r="E54">
        <v>-3.1003752609332249</v>
      </c>
      <c r="F54">
        <v>26.573684210526316</v>
      </c>
      <c r="G54">
        <v>-2.9816286282961881</v>
      </c>
      <c r="H54">
        <v>26.573684210526316</v>
      </c>
      <c r="I54">
        <v>-2.7404687880541392</v>
      </c>
      <c r="J54">
        <v>26.573684210526316</v>
      </c>
      <c r="K54">
        <v>-2.3352319524475726</v>
      </c>
      <c r="L54">
        <v>26.573684210526316</v>
      </c>
      <c r="M54">
        <v>-1.5778140690635349</v>
      </c>
      <c r="N54">
        <v>26.573684210526316</v>
      </c>
      <c r="O54">
        <v>0.53455649819644657</v>
      </c>
      <c r="R54">
        <v>26.573684210526316</v>
      </c>
      <c r="S54">
        <v>-3.1382119655609131</v>
      </c>
    </row>
    <row r="55" spans="1:19" x14ac:dyDescent="0.3">
      <c r="A55">
        <v>52</v>
      </c>
      <c r="B55">
        <v>27.094736842105263</v>
      </c>
      <c r="C55">
        <v>-3.2015206813812256</v>
      </c>
      <c r="D55">
        <v>27.094736842105263</v>
      </c>
      <c r="E55">
        <v>-3.1636675090019919</v>
      </c>
      <c r="F55">
        <v>27.094736842105263</v>
      </c>
      <c r="G55">
        <v>-3.0448407688938874</v>
      </c>
      <c r="H55">
        <v>27.094736842105263</v>
      </c>
      <c r="I55">
        <v>-2.8034231319465523</v>
      </c>
      <c r="J55">
        <v>27.094736842105263</v>
      </c>
      <c r="K55">
        <v>-2.3974847298253867</v>
      </c>
      <c r="L55">
        <v>27.094736842105263</v>
      </c>
      <c r="M55">
        <v>-1.637756808106126</v>
      </c>
      <c r="N55">
        <v>27.094736842105263</v>
      </c>
      <c r="O55">
        <v>0.48751627751686266</v>
      </c>
      <c r="R55">
        <v>27.094736842105263</v>
      </c>
      <c r="S55">
        <v>-3.2015206813812256</v>
      </c>
    </row>
    <row r="56" spans="1:19" x14ac:dyDescent="0.3">
      <c r="A56">
        <v>53</v>
      </c>
      <c r="B56">
        <v>27.61578947368421</v>
      </c>
      <c r="C56">
        <v>-3.263455867767334</v>
      </c>
      <c r="D56">
        <v>27.61578947368421</v>
      </c>
      <c r="E56">
        <v>-3.2255931560927236</v>
      </c>
      <c r="F56">
        <v>27.61578947368421</v>
      </c>
      <c r="G56">
        <v>-3.1067075518506817</v>
      </c>
      <c r="H56">
        <v>27.61578947368421</v>
      </c>
      <c r="I56">
        <v>-2.8650741349576885</v>
      </c>
      <c r="J56">
        <v>27.61578947368421</v>
      </c>
      <c r="K56">
        <v>-2.4390479756384167</v>
      </c>
      <c r="L56">
        <v>27.61578947368421</v>
      </c>
      <c r="M56">
        <v>-1.6965790886946255</v>
      </c>
      <c r="N56">
        <v>27.61578947368421</v>
      </c>
      <c r="O56">
        <v>0.44134611143101632</v>
      </c>
      <c r="R56">
        <v>27.61578947368421</v>
      </c>
      <c r="S56">
        <v>-3.263455867767334</v>
      </c>
    </row>
    <row r="57" spans="1:19" x14ac:dyDescent="0.3">
      <c r="A57">
        <v>54</v>
      </c>
      <c r="B57">
        <v>28.13684210526316</v>
      </c>
      <c r="C57">
        <v>-3.3240277767181396</v>
      </c>
      <c r="D57">
        <v>28.13684210526316</v>
      </c>
      <c r="E57">
        <v>-3.2861622132105888</v>
      </c>
      <c r="F57">
        <v>28.13684210526316</v>
      </c>
      <c r="G57">
        <v>-3.1672386329419067</v>
      </c>
      <c r="H57">
        <v>28.13684210526316</v>
      </c>
      <c r="I57">
        <v>-2.9254309182250018</v>
      </c>
      <c r="J57">
        <v>28.13684210526316</v>
      </c>
      <c r="K57">
        <v>-2.4988016213563204</v>
      </c>
      <c r="L57">
        <v>28.13684210526316</v>
      </c>
      <c r="M57">
        <v>-1.7315140318921189</v>
      </c>
      <c r="N57">
        <v>28.13684210526316</v>
      </c>
      <c r="O57">
        <v>0.39603980159633878</v>
      </c>
      <c r="R57">
        <v>28.13684210526316</v>
      </c>
      <c r="S57">
        <v>-3.3240277767181396</v>
      </c>
    </row>
    <row r="58" spans="1:19" x14ac:dyDescent="0.3">
      <c r="A58">
        <v>55</v>
      </c>
      <c r="B58">
        <v>28.657894736842106</v>
      </c>
      <c r="C58">
        <v>-3.3832497596740723</v>
      </c>
      <c r="D58">
        <v>28.657894736842106</v>
      </c>
      <c r="E58">
        <v>-3.3453880223862629</v>
      </c>
      <c r="F58">
        <v>28.657894736842106</v>
      </c>
      <c r="G58">
        <v>-3.226447006981882</v>
      </c>
      <c r="H58">
        <v>28.657894736842106</v>
      </c>
      <c r="I58">
        <v>-2.9845056807302077</v>
      </c>
      <c r="J58">
        <v>28.657894736842106</v>
      </c>
      <c r="K58">
        <v>-2.5573418624198041</v>
      </c>
      <c r="L58">
        <v>28.657894736842106</v>
      </c>
      <c r="M58">
        <v>-1.788038160684214</v>
      </c>
      <c r="N58">
        <v>28.657894736842106</v>
      </c>
      <c r="O58">
        <v>0.35159107042328802</v>
      </c>
      <c r="R58">
        <v>28.657894736842106</v>
      </c>
      <c r="S58">
        <v>-3.3832497596740723</v>
      </c>
    </row>
    <row r="59" spans="1:19" x14ac:dyDescent="0.3">
      <c r="A59">
        <v>56</v>
      </c>
      <c r="B59">
        <v>29.178947368421053</v>
      </c>
      <c r="C59">
        <v>-3.441133975982666</v>
      </c>
      <c r="D59">
        <v>29.178947368421053</v>
      </c>
      <c r="E59">
        <v>-3.4032825809614691</v>
      </c>
      <c r="F59">
        <v>29.178947368421053</v>
      </c>
      <c r="G59">
        <v>-3.273258101235986</v>
      </c>
      <c r="H59">
        <v>29.178947368421053</v>
      </c>
      <c r="I59">
        <v>-3.0265444943424571</v>
      </c>
      <c r="J59">
        <v>29.178947368421053</v>
      </c>
      <c r="K59">
        <v>-2.6146787248673169</v>
      </c>
      <c r="L59">
        <v>29.178947368421053</v>
      </c>
      <c r="M59">
        <v>-1.84346982359581</v>
      </c>
      <c r="N59">
        <v>29.178947368421053</v>
      </c>
      <c r="O59">
        <v>0.34441932152243937</v>
      </c>
      <c r="R59">
        <v>29.178947368421053</v>
      </c>
      <c r="S59">
        <v>-3.441133975982666</v>
      </c>
    </row>
    <row r="60" spans="1:19" x14ac:dyDescent="0.3">
      <c r="A60">
        <v>57</v>
      </c>
      <c r="B60">
        <v>29.7</v>
      </c>
      <c r="C60">
        <v>-3.4976913928985596</v>
      </c>
      <c r="D60">
        <v>29.7</v>
      </c>
      <c r="E60">
        <v>-3.4598567797183475</v>
      </c>
      <c r="F60">
        <v>29.7</v>
      </c>
      <c r="G60">
        <v>-3.3298552798453667</v>
      </c>
      <c r="H60">
        <v>29.7</v>
      </c>
      <c r="I60">
        <v>-3.0830794949134712</v>
      </c>
      <c r="J60">
        <v>29.7</v>
      </c>
      <c r="K60">
        <v>-2.6511167450354307</v>
      </c>
      <c r="L60">
        <v>29.7</v>
      </c>
      <c r="M60">
        <v>-1.8747266108555323</v>
      </c>
      <c r="N60">
        <v>29.7</v>
      </c>
      <c r="O60">
        <v>0.30190459430767147</v>
      </c>
      <c r="R60">
        <v>29.7</v>
      </c>
      <c r="S60">
        <v>-3.4976913928985596</v>
      </c>
    </row>
    <row r="61" spans="1:19" x14ac:dyDescent="0.3">
      <c r="A61">
        <v>58</v>
      </c>
      <c r="B61">
        <v>30.221052631578946</v>
      </c>
      <c r="C61">
        <v>-3.5529375076293945</v>
      </c>
      <c r="D61">
        <v>30.221052631578946</v>
      </c>
      <c r="E61">
        <v>-3.5151259093562768</v>
      </c>
      <c r="F61">
        <v>30.221052631578946</v>
      </c>
      <c r="G61">
        <v>-3.385168563349465</v>
      </c>
      <c r="H61">
        <v>30.221052631578946</v>
      </c>
      <c r="I61">
        <v>-3.1383698056427658</v>
      </c>
      <c r="J61">
        <v>30.221052631578946</v>
      </c>
      <c r="K61">
        <v>-2.7060523356836628</v>
      </c>
      <c r="L61">
        <v>30.221052631578946</v>
      </c>
      <c r="M61">
        <v>-1.9279258618144084</v>
      </c>
      <c r="N61">
        <v>30.221052631578946</v>
      </c>
      <c r="O61">
        <v>0.29747616768107005</v>
      </c>
      <c r="R61">
        <v>30.221052631578946</v>
      </c>
      <c r="S61">
        <v>-3.5529375076293945</v>
      </c>
    </row>
    <row r="62" spans="1:19" x14ac:dyDescent="0.3">
      <c r="A62">
        <v>59</v>
      </c>
      <c r="B62">
        <v>30.742105263157896</v>
      </c>
      <c r="C62">
        <v>-3.6068813800811768</v>
      </c>
      <c r="D62">
        <v>30.742105263157896</v>
      </c>
      <c r="E62">
        <v>-3.5690990849447068</v>
      </c>
      <c r="F62">
        <v>30.742105263157896</v>
      </c>
      <c r="G62">
        <v>-3.4392070287376022</v>
      </c>
      <c r="H62">
        <v>30.742105263157896</v>
      </c>
      <c r="I62">
        <v>-3.1924243531784615</v>
      </c>
      <c r="J62">
        <v>30.742105263157896</v>
      </c>
      <c r="K62">
        <v>-2.7598175041113753</v>
      </c>
      <c r="L62">
        <v>30.742105263157896</v>
      </c>
      <c r="M62">
        <v>-1.9567410731590216</v>
      </c>
      <c r="N62">
        <v>30.742105263157896</v>
      </c>
      <c r="O62">
        <v>0.25685600340866416</v>
      </c>
      <c r="R62">
        <v>30.742105263157896</v>
      </c>
      <c r="S62">
        <v>-3.6068813800811768</v>
      </c>
    </row>
    <row r="63" spans="1:19" x14ac:dyDescent="0.3">
      <c r="A63">
        <v>60</v>
      </c>
      <c r="B63">
        <v>31.263157894736842</v>
      </c>
      <c r="C63">
        <v>-3.6595382690429688</v>
      </c>
      <c r="D63">
        <v>31.263157894736842</v>
      </c>
      <c r="E63">
        <v>-3.6217913246241489</v>
      </c>
      <c r="F63">
        <v>31.263157894736842</v>
      </c>
      <c r="G63">
        <v>-3.4919850715099789</v>
      </c>
      <c r="H63">
        <v>31.263157894736842</v>
      </c>
      <c r="I63">
        <v>-3.2452564806139987</v>
      </c>
      <c r="J63">
        <v>31.263157894736842</v>
      </c>
      <c r="K63">
        <v>-2.7925270401266493</v>
      </c>
      <c r="L63">
        <v>31.263157894736842</v>
      </c>
      <c r="M63">
        <v>-2.0077537742899514</v>
      </c>
      <c r="N63">
        <v>31.263157894736842</v>
      </c>
      <c r="O63">
        <v>0.25513302568234519</v>
      </c>
      <c r="R63">
        <v>31.263157894736842</v>
      </c>
      <c r="S63">
        <v>-3.6595382690429688</v>
      </c>
    </row>
    <row r="64" spans="1:19" x14ac:dyDescent="0.3">
      <c r="A64">
        <v>61</v>
      </c>
      <c r="B64">
        <v>31.784210526315789</v>
      </c>
      <c r="C64">
        <v>-3.7109205722808838</v>
      </c>
      <c r="D64">
        <v>31.784210526315789</v>
      </c>
      <c r="E64">
        <v>-3.6732149676025347</v>
      </c>
      <c r="F64">
        <v>31.784210526315789</v>
      </c>
      <c r="G64">
        <v>-3.5435147447757989</v>
      </c>
      <c r="H64">
        <v>31.784210526315789</v>
      </c>
      <c r="I64">
        <v>-3.2808855160650956</v>
      </c>
      <c r="J64">
        <v>31.784210526315789</v>
      </c>
      <c r="K64">
        <v>-2.8439677074255592</v>
      </c>
      <c r="L64">
        <v>31.784210526315789</v>
      </c>
      <c r="M64">
        <v>-2.034178513925863</v>
      </c>
      <c r="N64">
        <v>31.784210526315789</v>
      </c>
      <c r="O64">
        <v>0.2550508060193194</v>
      </c>
      <c r="R64">
        <v>31.784210526315789</v>
      </c>
      <c r="S64">
        <v>-3.7109205722808838</v>
      </c>
    </row>
    <row r="65" spans="1:19" x14ac:dyDescent="0.3">
      <c r="A65">
        <v>62</v>
      </c>
      <c r="B65">
        <v>32.305263157894736</v>
      </c>
      <c r="C65">
        <v>-3.761040210723877</v>
      </c>
      <c r="D65">
        <v>32.305263157894736</v>
      </c>
      <c r="E65">
        <v>-3.7233817520801784</v>
      </c>
      <c r="F65">
        <v>32.305263157894736</v>
      </c>
      <c r="G65">
        <v>-3.5938074038982428</v>
      </c>
      <c r="H65">
        <v>32.305263157894736</v>
      </c>
      <c r="I65">
        <v>-3.3313102410265287</v>
      </c>
      <c r="J65">
        <v>32.305263157894736</v>
      </c>
      <c r="K65">
        <v>-2.894272906409312</v>
      </c>
      <c r="L65">
        <v>32.305263157894736</v>
      </c>
      <c r="M65">
        <v>-2.0593476922499869</v>
      </c>
      <c r="N65">
        <v>32.305263157894736</v>
      </c>
      <c r="O65">
        <v>0.21731208637673349</v>
      </c>
      <c r="R65">
        <v>32.305263157894736</v>
      </c>
      <c r="S65">
        <v>-3.761040210723877</v>
      </c>
    </row>
    <row r="66" spans="1:19" x14ac:dyDescent="0.3">
      <c r="A66">
        <v>63</v>
      </c>
      <c r="B66">
        <v>32.826315789473682</v>
      </c>
      <c r="C66">
        <v>-3.8099124431610107</v>
      </c>
      <c r="D66">
        <v>32.826315789473682</v>
      </c>
      <c r="E66">
        <v>-3.7723069356924963</v>
      </c>
      <c r="F66">
        <v>32.826315789473682</v>
      </c>
      <c r="G66">
        <v>-3.6428779431501606</v>
      </c>
      <c r="H66">
        <v>32.826315789473682</v>
      </c>
      <c r="I66">
        <v>-3.3805511955131666</v>
      </c>
      <c r="J66">
        <v>32.826315789473682</v>
      </c>
      <c r="K66">
        <v>-2.9233876058721906</v>
      </c>
      <c r="L66">
        <v>32.826315789473682</v>
      </c>
      <c r="M66">
        <v>-2.1071363257808864</v>
      </c>
      <c r="N66">
        <v>32.826315789473682</v>
      </c>
      <c r="O66">
        <v>0.21988092361263256</v>
      </c>
      <c r="R66">
        <v>32.826315789473682</v>
      </c>
      <c r="S66">
        <v>-3.8099124431610107</v>
      </c>
    </row>
    <row r="67" spans="1:19" x14ac:dyDescent="0.3">
      <c r="A67">
        <v>64</v>
      </c>
      <c r="B67">
        <v>33.347368421052629</v>
      </c>
      <c r="C67">
        <v>-3.8575479984283447</v>
      </c>
      <c r="D67">
        <v>33.347368421052629</v>
      </c>
      <c r="E67">
        <v>-3.8200010992752804</v>
      </c>
      <c r="F67">
        <v>33.347368421052629</v>
      </c>
      <c r="G67">
        <v>-3.6793910802139616</v>
      </c>
      <c r="H67">
        <v>33.347368421052629</v>
      </c>
      <c r="I67">
        <v>-3.4286181897895229</v>
      </c>
      <c r="J67">
        <v>33.347368421052629</v>
      </c>
      <c r="K67">
        <v>-2.9714457131199215</v>
      </c>
      <c r="L67">
        <v>33.347368421052629</v>
      </c>
      <c r="M67">
        <v>-2.1299912848150488</v>
      </c>
      <c r="N67">
        <v>33.347368421052629</v>
      </c>
      <c r="O67">
        <v>0.22407019197869238</v>
      </c>
      <c r="R67">
        <v>33.347368421052629</v>
      </c>
      <c r="S67">
        <v>-3.8575479984283447</v>
      </c>
    </row>
    <row r="68" spans="1:19" x14ac:dyDescent="0.3">
      <c r="A68">
        <v>65</v>
      </c>
      <c r="B68">
        <v>33.868421052631582</v>
      </c>
      <c r="C68">
        <v>-3.9039607048034668</v>
      </c>
      <c r="D68">
        <v>33.868421052631582</v>
      </c>
      <c r="E68">
        <v>-3.8664779133088052</v>
      </c>
      <c r="F68">
        <v>33.868421052631582</v>
      </c>
      <c r="G68">
        <v>-3.7260650925791894</v>
      </c>
      <c r="H68">
        <v>33.868421052631582</v>
      </c>
      <c r="I68">
        <v>-3.459349920318155</v>
      </c>
      <c r="J68">
        <v>33.868421052631582</v>
      </c>
      <c r="K68">
        <v>-2.9981920413231533</v>
      </c>
      <c r="L68">
        <v>33.868421052631582</v>
      </c>
      <c r="M68">
        <v>-2.1516274099474462</v>
      </c>
      <c r="N68">
        <v>33.868421052631582</v>
      </c>
      <c r="O68">
        <v>0.22987594445655213</v>
      </c>
      <c r="R68">
        <v>33.868421052631582</v>
      </c>
      <c r="S68">
        <v>-3.9039607048034668</v>
      </c>
    </row>
    <row r="69" spans="1:19" x14ac:dyDescent="0.3">
      <c r="A69">
        <v>66</v>
      </c>
      <c r="B69">
        <v>34.389473684210529</v>
      </c>
      <c r="C69">
        <v>-3.9491627216339111</v>
      </c>
      <c r="D69">
        <v>34.389473684210529</v>
      </c>
      <c r="E69">
        <v>-3.9057773659094557</v>
      </c>
      <c r="F69">
        <v>34.389473684210529</v>
      </c>
      <c r="G69">
        <v>-3.7715539181223701</v>
      </c>
      <c r="H69">
        <v>34.389473684210529</v>
      </c>
      <c r="I69">
        <v>-3.5051171977116224</v>
      </c>
      <c r="J69">
        <v>34.389473684210529</v>
      </c>
      <c r="K69">
        <v>-3.0440542138810422</v>
      </c>
      <c r="L69">
        <v>34.389473684210529</v>
      </c>
      <c r="M69">
        <v>-2.1963002770079925</v>
      </c>
      <c r="N69">
        <v>34.389473684210529</v>
      </c>
      <c r="O69">
        <v>0.23729376106119393</v>
      </c>
      <c r="R69">
        <v>34.389473684210529</v>
      </c>
      <c r="S69">
        <v>-3.9491627216339111</v>
      </c>
    </row>
    <row r="70" spans="1:19" x14ac:dyDescent="0.3">
      <c r="A70">
        <v>67</v>
      </c>
      <c r="B70">
        <v>34.910526315789475</v>
      </c>
      <c r="C70">
        <v>-3.9931676387786865</v>
      </c>
      <c r="D70">
        <v>34.910526315789475</v>
      </c>
      <c r="E70">
        <v>-3.9498684823978429</v>
      </c>
      <c r="F70">
        <v>34.910526315789475</v>
      </c>
      <c r="G70">
        <v>-3.8158705759311906</v>
      </c>
      <c r="H70">
        <v>34.910526315789475</v>
      </c>
      <c r="I70">
        <v>-3.549748557482352</v>
      </c>
      <c r="J70">
        <v>34.910526315789475</v>
      </c>
      <c r="K70">
        <v>-3.0888403089495924</v>
      </c>
      <c r="L70">
        <v>34.910526315789475</v>
      </c>
      <c r="M70">
        <v>-2.2156947046830213</v>
      </c>
      <c r="N70">
        <v>34.910526315789475</v>
      </c>
      <c r="O70">
        <v>0.28878004601941171</v>
      </c>
      <c r="R70">
        <v>34.910526315789475</v>
      </c>
      <c r="S70">
        <v>-3.9931676387786865</v>
      </c>
    </row>
    <row r="71" spans="1:19" x14ac:dyDescent="0.3">
      <c r="A71">
        <v>68</v>
      </c>
      <c r="B71">
        <v>35.431578947368422</v>
      </c>
      <c r="C71">
        <v>-4.0359878540039063</v>
      </c>
      <c r="D71">
        <v>35.431578947368422</v>
      </c>
      <c r="E71">
        <v>-3.9927809984485663</v>
      </c>
      <c r="F71">
        <v>35.431578947368422</v>
      </c>
      <c r="G71">
        <v>-3.8590271061110166</v>
      </c>
      <c r="H71">
        <v>35.431578947368422</v>
      </c>
      <c r="I71">
        <v>-3.5932554654702278</v>
      </c>
      <c r="J71">
        <v>35.431578947368422</v>
      </c>
      <c r="K71">
        <v>-3.1122112049101225</v>
      </c>
      <c r="L71">
        <v>35.431578947368422</v>
      </c>
      <c r="M71">
        <v>-2.2339052766399683</v>
      </c>
      <c r="N71">
        <v>35.431578947368422</v>
      </c>
      <c r="O71">
        <v>0.3000670997699616</v>
      </c>
      <c r="R71">
        <v>35.431578947368422</v>
      </c>
      <c r="S71">
        <v>-4.0359878540039063</v>
      </c>
    </row>
    <row r="72" spans="1:19" x14ac:dyDescent="0.3">
      <c r="A72">
        <v>69</v>
      </c>
      <c r="B72">
        <v>35.952631578947368</v>
      </c>
      <c r="C72">
        <v>-4.0776348114013672</v>
      </c>
      <c r="D72">
        <v>35.952631578947368</v>
      </c>
      <c r="E72">
        <v>-4.0345261903527128</v>
      </c>
      <c r="F72">
        <v>35.952631578947368</v>
      </c>
      <c r="G72">
        <v>-3.9010344503666605</v>
      </c>
      <c r="H72">
        <v>35.952631578947368</v>
      </c>
      <c r="I72">
        <v>-3.6193294143350112</v>
      </c>
      <c r="J72">
        <v>35.952631578947368</v>
      </c>
      <c r="K72">
        <v>-3.154875925038092</v>
      </c>
      <c r="L72">
        <v>35.952631578947368</v>
      </c>
      <c r="M72">
        <v>-2.2509418988456393</v>
      </c>
      <c r="N72">
        <v>35.952631578947368</v>
      </c>
      <c r="O72">
        <v>0.3129617249900159</v>
      </c>
      <c r="R72">
        <v>35.952631578947368</v>
      </c>
      <c r="S72">
        <v>-4.0776348114013672</v>
      </c>
    </row>
    <row r="73" spans="1:19" x14ac:dyDescent="0.3">
      <c r="A73">
        <v>70</v>
      </c>
      <c r="B73">
        <v>36.473684210526315</v>
      </c>
      <c r="C73">
        <v>-4.1181211471557617</v>
      </c>
      <c r="D73">
        <v>36.473684210526315</v>
      </c>
      <c r="E73">
        <v>-4.0751166187793597</v>
      </c>
      <c r="F73">
        <v>36.473684210526315</v>
      </c>
      <c r="G73">
        <v>-3.9303627542033812</v>
      </c>
      <c r="H73">
        <v>36.473684210526315</v>
      </c>
      <c r="I73">
        <v>-3.6606399342340215</v>
      </c>
      <c r="J73">
        <v>36.473684210526315</v>
      </c>
      <c r="K73">
        <v>-3.1760239236603582</v>
      </c>
      <c r="L73">
        <v>36.473684210526315</v>
      </c>
      <c r="M73">
        <v>-2.2668142986578279</v>
      </c>
      <c r="N73">
        <v>36.473684210526315</v>
      </c>
      <c r="O73">
        <v>0.32745991744918529</v>
      </c>
      <c r="R73">
        <v>36.473684210526315</v>
      </c>
      <c r="S73">
        <v>-4.1181211471557617</v>
      </c>
    </row>
    <row r="74" spans="1:19" x14ac:dyDescent="0.3">
      <c r="A74">
        <v>71</v>
      </c>
      <c r="B74">
        <v>36.994736842105262</v>
      </c>
      <c r="C74">
        <v>-4.1574592590332031</v>
      </c>
      <c r="D74">
        <v>36.994736842105262</v>
      </c>
      <c r="E74">
        <v>-4.1145644625552391</v>
      </c>
      <c r="F74">
        <v>36.994736842105262</v>
      </c>
      <c r="G74">
        <v>-3.970131274887446</v>
      </c>
      <c r="H74">
        <v>36.994736842105262</v>
      </c>
      <c r="I74">
        <v>-3.7008609851440268</v>
      </c>
      <c r="J74">
        <v>36.994736842105262</v>
      </c>
      <c r="K74">
        <v>-3.2166161134923517</v>
      </c>
      <c r="L74">
        <v>36.994736842105262</v>
      </c>
      <c r="M74">
        <v>-2.2815323894914314</v>
      </c>
      <c r="N74">
        <v>36.994736842105262</v>
      </c>
      <c r="O74">
        <v>0.38916468142712884</v>
      </c>
      <c r="R74">
        <v>36.994736842105262</v>
      </c>
      <c r="S74">
        <v>-4.1574592590332031</v>
      </c>
    </row>
    <row r="75" spans="1:19" x14ac:dyDescent="0.3">
      <c r="A75">
        <v>72</v>
      </c>
      <c r="B75">
        <v>37.515789473684208</v>
      </c>
      <c r="C75">
        <v>-4.1956605911254883</v>
      </c>
      <c r="D75">
        <v>37.515789473684208</v>
      </c>
      <c r="E75">
        <v>-4.1528811329413813</v>
      </c>
      <c r="F75">
        <v>37.515789473684208</v>
      </c>
      <c r="G75">
        <v>-4.0087871832711848</v>
      </c>
      <c r="H75">
        <v>37.515789473684208</v>
      </c>
      <c r="I75">
        <v>-3.7235472904646469</v>
      </c>
      <c r="J75">
        <v>37.515789473684208</v>
      </c>
      <c r="K75">
        <v>-3.2355973844463177</v>
      </c>
      <c r="L75">
        <v>37.515789473684208</v>
      </c>
      <c r="M75">
        <v>-2.3202349819515855</v>
      </c>
      <c r="N75">
        <v>37.515789473684208</v>
      </c>
      <c r="O75">
        <v>0.40755571303234123</v>
      </c>
      <c r="R75">
        <v>37.515789473684208</v>
      </c>
      <c r="S75">
        <v>-4.1956605911254883</v>
      </c>
    </row>
    <row r="76" spans="1:19" x14ac:dyDescent="0.3">
      <c r="A76">
        <v>73</v>
      </c>
      <c r="B76">
        <v>38.036842105263155</v>
      </c>
      <c r="C76">
        <v>-4.2327365875244141</v>
      </c>
      <c r="D76">
        <v>38.036842105263155</v>
      </c>
      <c r="E76">
        <v>-4.1900780425860962</v>
      </c>
      <c r="F76">
        <v>38.036842105263155</v>
      </c>
      <c r="G76">
        <v>-4.0463416074234448</v>
      </c>
      <c r="H76">
        <v>38.036842105263155</v>
      </c>
      <c r="I76">
        <v>-3.7616470232702683</v>
      </c>
      <c r="J76">
        <v>38.036842105263155</v>
      </c>
      <c r="K76">
        <v>-3.2534565206605226</v>
      </c>
      <c r="L76">
        <v>38.036842105263155</v>
      </c>
      <c r="M76">
        <v>-2.3328436198047515</v>
      </c>
      <c r="N76">
        <v>38.036842105263155</v>
      </c>
      <c r="O76">
        <v>0.47505398447625519</v>
      </c>
      <c r="R76">
        <v>38.036842105263155</v>
      </c>
      <c r="S76">
        <v>-4.2327365875244141</v>
      </c>
    </row>
    <row r="77" spans="1:19" x14ac:dyDescent="0.3">
      <c r="A77">
        <v>74</v>
      </c>
      <c r="B77">
        <v>38.557894736842108</v>
      </c>
      <c r="C77">
        <v>-4.2686982154846191</v>
      </c>
      <c r="D77">
        <v>38.557894736842108</v>
      </c>
      <c r="E77">
        <v>-4.2261658980136652</v>
      </c>
      <c r="F77">
        <v>38.557894736842108</v>
      </c>
      <c r="G77">
        <v>-4.082804738454838</v>
      </c>
      <c r="H77">
        <v>38.557894736842108</v>
      </c>
      <c r="I77">
        <v>-3.7986897467190741</v>
      </c>
      <c r="J77">
        <v>38.557894736842108</v>
      </c>
      <c r="K77">
        <v>-3.2910312927065517</v>
      </c>
      <c r="L77">
        <v>38.557894736842108</v>
      </c>
      <c r="M77">
        <v>-2.3443257647354545</v>
      </c>
      <c r="N77">
        <v>38.557894736842108</v>
      </c>
      <c r="O77">
        <v>0.49736194453894927</v>
      </c>
      <c r="R77">
        <v>38.557894736842108</v>
      </c>
      <c r="S77">
        <v>-4.2686982154846191</v>
      </c>
    </row>
    <row r="78" spans="1:19" x14ac:dyDescent="0.3">
      <c r="A78">
        <v>75</v>
      </c>
      <c r="B78">
        <v>39.078947368421055</v>
      </c>
      <c r="C78">
        <v>-4.3035573959350586</v>
      </c>
      <c r="D78">
        <v>39.078947368421055</v>
      </c>
      <c r="E78">
        <v>-4.2611566509979877</v>
      </c>
      <c r="F78">
        <v>39.078947368421055</v>
      </c>
      <c r="G78">
        <v>-4.1064814537444647</v>
      </c>
      <c r="H78">
        <v>39.078947368421055</v>
      </c>
      <c r="I78">
        <v>-3.8181137001402883</v>
      </c>
      <c r="J78">
        <v>39.078947368421055</v>
      </c>
      <c r="K78">
        <v>-3.3068034985554955</v>
      </c>
      <c r="L78">
        <v>39.078947368421055</v>
      </c>
      <c r="M78">
        <v>-2.3290342963885586</v>
      </c>
      <c r="N78">
        <v>39.078947368421055</v>
      </c>
      <c r="O78">
        <v>0.57075438727911765</v>
      </c>
      <c r="R78">
        <v>39.078947368421055</v>
      </c>
      <c r="S78">
        <v>-4.3035573959350586</v>
      </c>
    </row>
    <row r="79" spans="1:19" x14ac:dyDescent="0.3">
      <c r="A79">
        <v>76</v>
      </c>
      <c r="B79">
        <v>39.6</v>
      </c>
      <c r="C79">
        <v>-4.3373255729675293</v>
      </c>
      <c r="D79">
        <v>39.6</v>
      </c>
      <c r="E79">
        <v>-4.2950614827550186</v>
      </c>
      <c r="F79">
        <v>39.6</v>
      </c>
      <c r="G79">
        <v>-4.1408269928762005</v>
      </c>
      <c r="H79">
        <v>39.6</v>
      </c>
      <c r="I79">
        <v>-3.8531060860441748</v>
      </c>
      <c r="J79">
        <v>39.6</v>
      </c>
      <c r="K79">
        <v>-3.3424221983367861</v>
      </c>
      <c r="L79">
        <v>39.6</v>
      </c>
      <c r="M79">
        <v>-2.338107784870775</v>
      </c>
      <c r="N79">
        <v>39.6</v>
      </c>
      <c r="O79">
        <v>0.64777831130158847</v>
      </c>
      <c r="R79">
        <v>39.6</v>
      </c>
      <c r="S79">
        <v>-4.3373255729675293</v>
      </c>
    </row>
    <row r="80" spans="1:19" x14ac:dyDescent="0.3">
      <c r="A80">
        <v>77</v>
      </c>
      <c r="B80">
        <v>40.121052631578948</v>
      </c>
      <c r="C80">
        <v>-4.3700094223022461</v>
      </c>
      <c r="D80">
        <v>40.121052631578948</v>
      </c>
      <c r="E80">
        <v>-4.3278871304076798</v>
      </c>
      <c r="F80">
        <v>40.121052631578948</v>
      </c>
      <c r="G80">
        <v>-4.1741116939017058</v>
      </c>
      <c r="H80">
        <v>40.121052631578948</v>
      </c>
      <c r="I80">
        <v>-3.8703650097388467</v>
      </c>
      <c r="J80">
        <v>40.121052631578948</v>
      </c>
      <c r="K80">
        <v>-3.3561555435361781</v>
      </c>
      <c r="L80">
        <v>40.121052631578948</v>
      </c>
      <c r="M80">
        <v>-2.3460736030885148</v>
      </c>
      <c r="N80">
        <v>40.121052631578948</v>
      </c>
      <c r="O80">
        <v>0.72848973309478682</v>
      </c>
      <c r="R80">
        <v>40.121052631578948</v>
      </c>
      <c r="S80">
        <v>-4.3700094223022461</v>
      </c>
    </row>
    <row r="81" spans="1:19" x14ac:dyDescent="0.3">
      <c r="A81">
        <v>78</v>
      </c>
      <c r="B81">
        <v>40.642105263157895</v>
      </c>
      <c r="C81">
        <v>-4.4016227722167969</v>
      </c>
      <c r="D81">
        <v>40.642105263157895</v>
      </c>
      <c r="E81">
        <v>-4.3534685025267255</v>
      </c>
      <c r="F81">
        <v>40.642105263157895</v>
      </c>
      <c r="G81">
        <v>-4.2063485969441032</v>
      </c>
      <c r="H81">
        <v>40.642105263157895</v>
      </c>
      <c r="I81">
        <v>-3.903349166595985</v>
      </c>
      <c r="J81">
        <v>40.642105263157895</v>
      </c>
      <c r="K81">
        <v>-3.3688330281728112</v>
      </c>
      <c r="L81">
        <v>40.642105263157895</v>
      </c>
      <c r="M81">
        <v>-2.352940063765824</v>
      </c>
      <c r="N81">
        <v>40.642105263157895</v>
      </c>
      <c r="O81">
        <v>0.81294322226740645</v>
      </c>
      <c r="R81">
        <v>40.642105263157895</v>
      </c>
      <c r="S81">
        <v>-4.4016227722167969</v>
      </c>
    </row>
    <row r="82" spans="1:19" x14ac:dyDescent="0.3">
      <c r="A82">
        <v>79</v>
      </c>
      <c r="B82">
        <v>41.163157894736841</v>
      </c>
      <c r="C82">
        <v>-4.4321742057800293</v>
      </c>
      <c r="D82">
        <v>41.163157894736841</v>
      </c>
      <c r="E82">
        <v>-4.3841930551273762</v>
      </c>
      <c r="F82">
        <v>41.163157894736841</v>
      </c>
      <c r="G82">
        <v>-4.2375458945104709</v>
      </c>
      <c r="H82">
        <v>41.163157894736841</v>
      </c>
      <c r="I82">
        <v>-3.9353271468491693</v>
      </c>
      <c r="J82">
        <v>41.163157894736841</v>
      </c>
      <c r="K82">
        <v>-3.4015994344164318</v>
      </c>
      <c r="L82">
        <v>41.163157894736841</v>
      </c>
      <c r="M82">
        <v>-2.3587119035879272</v>
      </c>
      <c r="N82">
        <v>41.163157894736841</v>
      </c>
      <c r="O82">
        <v>0.84634064230303008</v>
      </c>
      <c r="R82">
        <v>41.163157894736841</v>
      </c>
      <c r="S82">
        <v>-4.4321742057800293</v>
      </c>
    </row>
    <row r="83" spans="1:19" x14ac:dyDescent="0.3">
      <c r="A83">
        <v>80</v>
      </c>
      <c r="B83">
        <v>41.684210526315788</v>
      </c>
      <c r="C83">
        <v>-4.4616727828979492</v>
      </c>
      <c r="D83">
        <v>41.684210526315788</v>
      </c>
      <c r="E83">
        <v>-4.4138702341300498</v>
      </c>
      <c r="F83">
        <v>41.684210526315788</v>
      </c>
      <c r="G83">
        <v>-4.2558847437302436</v>
      </c>
      <c r="H83">
        <v>41.684210526315788</v>
      </c>
      <c r="I83">
        <v>-3.9495164709355444</v>
      </c>
      <c r="J83">
        <v>41.684210526315788</v>
      </c>
      <c r="K83">
        <v>-3.4123071124370092</v>
      </c>
      <c r="L83">
        <v>41.684210526315788</v>
      </c>
      <c r="M83">
        <v>-2.3633949520127531</v>
      </c>
      <c r="N83">
        <v>41.684210526315788</v>
      </c>
      <c r="O83">
        <v>0.93701545320235169</v>
      </c>
      <c r="R83">
        <v>41.684210526315788</v>
      </c>
      <c r="S83">
        <v>-4.4616727828979492</v>
      </c>
    </row>
    <row r="84" spans="1:19" x14ac:dyDescent="0.3">
      <c r="A84">
        <v>81</v>
      </c>
      <c r="B84">
        <v>42.205263157894734</v>
      </c>
      <c r="C84">
        <v>-4.4901280403137207</v>
      </c>
      <c r="D84">
        <v>42.205263157894734</v>
      </c>
      <c r="E84">
        <v>-4.4425093834338476</v>
      </c>
      <c r="F84">
        <v>42.205263157894734</v>
      </c>
      <c r="G84">
        <v>-4.28506716008817</v>
      </c>
      <c r="H84">
        <v>42.205263157894734</v>
      </c>
      <c r="I84">
        <v>-3.9795469118980931</v>
      </c>
      <c r="J84">
        <v>42.205263157894734</v>
      </c>
      <c r="K84">
        <v>-3.4219921956896235</v>
      </c>
      <c r="L84">
        <v>42.205263157894734</v>
      </c>
      <c r="M84">
        <v>-2.3400517259434723</v>
      </c>
      <c r="N84">
        <v>42.205263157894734</v>
      </c>
      <c r="O84">
        <v>1.0893098924681586</v>
      </c>
      <c r="R84">
        <v>42.205263157894734</v>
      </c>
      <c r="S84">
        <v>-4.4901280403137207</v>
      </c>
    </row>
    <row r="85" spans="1:19" x14ac:dyDescent="0.3">
      <c r="A85">
        <v>82</v>
      </c>
      <c r="B85">
        <v>42.726315789473681</v>
      </c>
      <c r="C85">
        <v>-4.5175457000732422</v>
      </c>
      <c r="D85">
        <v>42.726315789473681</v>
      </c>
      <c r="E85">
        <v>-4.4701162987718348</v>
      </c>
      <c r="F85">
        <v>42.726315789473681</v>
      </c>
      <c r="G85">
        <v>-4.3132345782001131</v>
      </c>
      <c r="H85">
        <v>42.726315789473681</v>
      </c>
      <c r="I85">
        <v>-3.9916936292442777</v>
      </c>
      <c r="J85">
        <v>42.726315789473681</v>
      </c>
      <c r="K85">
        <v>-3.4306632503717736</v>
      </c>
      <c r="L85">
        <v>42.726315789473681</v>
      </c>
      <c r="M85">
        <v>-2.3423657276515586</v>
      </c>
      <c r="N85">
        <v>42.726315789473681</v>
      </c>
      <c r="O85">
        <v>1.1892840622172072</v>
      </c>
      <c r="R85">
        <v>42.726315789473681</v>
      </c>
      <c r="S85">
        <v>-4.5175457000732422</v>
      </c>
    </row>
    <row r="86" spans="1:19" x14ac:dyDescent="0.3">
      <c r="A86">
        <v>83</v>
      </c>
      <c r="B86">
        <v>43.247368421052634</v>
      </c>
      <c r="C86">
        <v>-4.543938159942627</v>
      </c>
      <c r="D86">
        <v>43.247368421052634</v>
      </c>
      <c r="E86">
        <v>-4.4967031191865292</v>
      </c>
      <c r="F86">
        <v>43.247368421052634</v>
      </c>
      <c r="G86">
        <v>-4.3284071350549853</v>
      </c>
      <c r="H86">
        <v>43.247368421052634</v>
      </c>
      <c r="I86">
        <v>-4.019812797570598</v>
      </c>
      <c r="J86">
        <v>43.247368421052634</v>
      </c>
      <c r="K86">
        <v>-3.4597686985975438</v>
      </c>
      <c r="L86">
        <v>43.247368421052634</v>
      </c>
      <c r="M86">
        <v>-2.3160809088924306</v>
      </c>
      <c r="N86">
        <v>43.247368421052634</v>
      </c>
      <c r="O86">
        <v>1.293273938293289</v>
      </c>
      <c r="R86">
        <v>43.247368421052634</v>
      </c>
      <c r="S86">
        <v>-4.543938159942627</v>
      </c>
    </row>
    <row r="87" spans="1:19" x14ac:dyDescent="0.3">
      <c r="A87">
        <v>84</v>
      </c>
      <c r="B87">
        <v>43.768421052631581</v>
      </c>
      <c r="C87">
        <v>-4.5693111419677734</v>
      </c>
      <c r="D87">
        <v>43.768421052631581</v>
      </c>
      <c r="E87">
        <v>-4.5222752763806522</v>
      </c>
      <c r="F87">
        <v>43.768421052631581</v>
      </c>
      <c r="G87">
        <v>-4.3546149299028514</v>
      </c>
      <c r="H87">
        <v>43.768421052631581</v>
      </c>
      <c r="I87">
        <v>-4.0299634835422173</v>
      </c>
      <c r="J87">
        <v>43.768421052631581</v>
      </c>
      <c r="K87">
        <v>-3.4665496981467925</v>
      </c>
      <c r="L87">
        <v>43.768421052631581</v>
      </c>
      <c r="M87">
        <v>-2.3160233204582941</v>
      </c>
      <c r="N87">
        <v>43.768421052631581</v>
      </c>
      <c r="O87">
        <v>1.4013336312514071</v>
      </c>
      <c r="R87">
        <v>43.768421052631581</v>
      </c>
      <c r="S87">
        <v>-4.5693111419677734</v>
      </c>
    </row>
    <row r="88" spans="1:19" x14ac:dyDescent="0.3">
      <c r="A88">
        <v>85</v>
      </c>
      <c r="B88">
        <v>44.289473684210527</v>
      </c>
      <c r="C88">
        <v>-4.5936708450317383</v>
      </c>
      <c r="D88">
        <v>44.289473684210527</v>
      </c>
      <c r="E88">
        <v>-4.5468395684618947</v>
      </c>
      <c r="F88">
        <v>44.289473684210527</v>
      </c>
      <c r="G88">
        <v>-4.379832672927586</v>
      </c>
      <c r="H88">
        <v>44.289473684210527</v>
      </c>
      <c r="I88">
        <v>-4.0562041690110355</v>
      </c>
      <c r="J88">
        <v>44.289473684210527</v>
      </c>
      <c r="K88">
        <v>-3.4723462288667069</v>
      </c>
      <c r="L88">
        <v>44.289473684210527</v>
      </c>
      <c r="M88">
        <v>-2.2867538186523158</v>
      </c>
      <c r="N88">
        <v>44.289473684210527</v>
      </c>
      <c r="O88">
        <v>1.5135162534787452</v>
      </c>
      <c r="R88">
        <v>44.289473684210527</v>
      </c>
      <c r="S88">
        <v>-4.5936708450317383</v>
      </c>
    </row>
    <row r="89" spans="1:19" x14ac:dyDescent="0.3">
      <c r="A89">
        <v>86</v>
      </c>
      <c r="B89">
        <v>44.810526315789474</v>
      </c>
      <c r="C89">
        <v>-4.6170268058776855</v>
      </c>
      <c r="D89">
        <v>44.810526315789474</v>
      </c>
      <c r="E89">
        <v>-4.5704047820936662</v>
      </c>
      <c r="F89">
        <v>44.810526315789474</v>
      </c>
      <c r="G89">
        <v>-4.4040680884031911</v>
      </c>
      <c r="H89">
        <v>44.810526315789474</v>
      </c>
      <c r="I89">
        <v>-4.064399139696123</v>
      </c>
      <c r="J89">
        <v>44.810526315789474</v>
      </c>
      <c r="K89">
        <v>-3.4771664954006578</v>
      </c>
      <c r="L89">
        <v>44.810526315789474</v>
      </c>
      <c r="M89">
        <v>-2.2843152073889597</v>
      </c>
      <c r="N89">
        <v>44.810526315789474</v>
      </c>
      <c r="O89">
        <v>1.6962075310307623</v>
      </c>
      <c r="R89">
        <v>44.810526315789474</v>
      </c>
      <c r="S89">
        <v>-4.6170268058776855</v>
      </c>
    </row>
    <row r="90" spans="1:19" x14ac:dyDescent="0.3">
      <c r="A90">
        <v>87</v>
      </c>
      <c r="B90">
        <v>45.331578947368421</v>
      </c>
      <c r="C90">
        <v>-4.6393818855285645</v>
      </c>
      <c r="D90">
        <v>45.331578947368421</v>
      </c>
      <c r="E90">
        <v>-4.5866377274961874</v>
      </c>
      <c r="F90">
        <v>45.331578947368421</v>
      </c>
      <c r="G90">
        <v>-4.4152348800798764</v>
      </c>
      <c r="H90">
        <v>45.331578947368421</v>
      </c>
      <c r="I90">
        <v>-4.0887911309277314</v>
      </c>
      <c r="J90">
        <v>45.331578947368421</v>
      </c>
      <c r="K90">
        <v>-3.4810171458513963</v>
      </c>
      <c r="L90">
        <v>45.331578947368421</v>
      </c>
      <c r="M90">
        <v>-2.2520121003225126</v>
      </c>
      <c r="N90">
        <v>45.331578947368421</v>
      </c>
      <c r="O90">
        <v>1.8184849387496556</v>
      </c>
      <c r="R90">
        <v>45.331578947368421</v>
      </c>
      <c r="S90">
        <v>-4.6393818855285645</v>
      </c>
    </row>
    <row r="91" spans="1:19" x14ac:dyDescent="0.3">
      <c r="A91">
        <v>88</v>
      </c>
      <c r="B91">
        <v>45.852631578947367</v>
      </c>
      <c r="C91">
        <v>-4.6607451438903809</v>
      </c>
      <c r="D91">
        <v>45.852631578947367</v>
      </c>
      <c r="E91">
        <v>-4.6082485733102914</v>
      </c>
      <c r="F91">
        <v>45.852631578947367</v>
      </c>
      <c r="G91">
        <v>-4.4375679799627861</v>
      </c>
      <c r="H91">
        <v>45.852631578947367</v>
      </c>
      <c r="I91">
        <v>-4.0950655188052529</v>
      </c>
      <c r="J91">
        <v>45.852631578947367</v>
      </c>
      <c r="K91">
        <v>-3.4839064751988249</v>
      </c>
      <c r="L91">
        <v>45.852631578947367</v>
      </c>
      <c r="M91">
        <v>-2.217950700827223</v>
      </c>
      <c r="N91">
        <v>45.852631578947367</v>
      </c>
      <c r="O91">
        <v>2.0156148507752691</v>
      </c>
      <c r="R91">
        <v>45.852631578947367</v>
      </c>
      <c r="S91">
        <v>-4.6607451438903809</v>
      </c>
    </row>
    <row r="92" spans="1:19" x14ac:dyDescent="0.3">
      <c r="A92">
        <v>89</v>
      </c>
      <c r="B92">
        <v>46.373684210526314</v>
      </c>
      <c r="C92">
        <v>-4.6811227798461914</v>
      </c>
      <c r="D92">
        <v>46.373684210526314</v>
      </c>
      <c r="E92">
        <v>-4.6288788136280195</v>
      </c>
      <c r="F92">
        <v>46.373684210526314</v>
      </c>
      <c r="G92">
        <v>-4.4589367959807991</v>
      </c>
      <c r="H92">
        <v>46.373684210526314</v>
      </c>
      <c r="I92">
        <v>-4.1176374027729645</v>
      </c>
      <c r="J92">
        <v>46.373684210526314</v>
      </c>
      <c r="K92">
        <v>-3.485840473766384</v>
      </c>
      <c r="L92">
        <v>46.373684210526314</v>
      </c>
      <c r="M92">
        <v>-2.2117843316359735</v>
      </c>
      <c r="N92">
        <v>46.373684210526314</v>
      </c>
      <c r="O92">
        <v>2.1483500707555283</v>
      </c>
      <c r="R92">
        <v>46.373684210526314</v>
      </c>
      <c r="S92">
        <v>-4.6811227798461914</v>
      </c>
    </row>
    <row r="93" spans="1:19" x14ac:dyDescent="0.3">
      <c r="A93">
        <v>90</v>
      </c>
      <c r="B93">
        <v>46.89473684210526</v>
      </c>
      <c r="C93">
        <v>-4.7005152702331543</v>
      </c>
      <c r="D93">
        <v>46.89473684210526</v>
      </c>
      <c r="E93">
        <v>-4.6485292405655541</v>
      </c>
      <c r="F93">
        <v>46.89473684210526</v>
      </c>
      <c r="G93">
        <v>-4.4671320631963347</v>
      </c>
      <c r="H93">
        <v>46.89473684210526</v>
      </c>
      <c r="I93">
        <v>-4.1220233525505732</v>
      </c>
      <c r="J93">
        <v>46.89473684210526</v>
      </c>
      <c r="K93">
        <v>-3.4868240063519353</v>
      </c>
      <c r="L93">
        <v>46.89473684210526</v>
      </c>
      <c r="M93">
        <v>-2.1745869417439456</v>
      </c>
      <c r="N93">
        <v>46.89473684210526</v>
      </c>
      <c r="O93">
        <v>2.3605012014262932</v>
      </c>
      <c r="R93">
        <v>46.89473684210526</v>
      </c>
      <c r="S93">
        <v>-4.7005152702331543</v>
      </c>
    </row>
    <row r="94" spans="1:19" x14ac:dyDescent="0.3">
      <c r="A94">
        <v>91</v>
      </c>
      <c r="B94">
        <v>47.415789473684214</v>
      </c>
      <c r="C94">
        <v>-4.718930721282959</v>
      </c>
      <c r="D94">
        <v>47.415789473684214</v>
      </c>
      <c r="E94">
        <v>-4.6672075402002715</v>
      </c>
      <c r="F94">
        <v>47.415789473684214</v>
      </c>
      <c r="G94">
        <v>-4.4866333296053398</v>
      </c>
      <c r="H94">
        <v>47.415789473684214</v>
      </c>
      <c r="I94">
        <v>-4.1254146922382313</v>
      </c>
      <c r="J94">
        <v>47.415789473684214</v>
      </c>
      <c r="K94">
        <v>-3.4868628346563391</v>
      </c>
      <c r="L94">
        <v>47.415789473684214</v>
      </c>
      <c r="M94">
        <v>-2.1355529622357299</v>
      </c>
      <c r="N94">
        <v>47.415789473684214</v>
      </c>
      <c r="O94">
        <v>2.5817468023860668</v>
      </c>
      <c r="R94">
        <v>47.415789473684214</v>
      </c>
      <c r="S94">
        <v>-4.718930721282959</v>
      </c>
    </row>
    <row r="95" spans="1:19" x14ac:dyDescent="0.3">
      <c r="A95">
        <v>92</v>
      </c>
      <c r="B95">
        <v>47.93684210526316</v>
      </c>
      <c r="C95">
        <v>-4.7363705635070801</v>
      </c>
      <c r="D95">
        <v>47.93684210526316</v>
      </c>
      <c r="E95">
        <v>-4.6849151607936639</v>
      </c>
      <c r="F95">
        <v>47.93684210526316</v>
      </c>
      <c r="G95">
        <v>-4.5051809617862615</v>
      </c>
      <c r="H95">
        <v>47.93684210526316</v>
      </c>
      <c r="I95">
        <v>-4.1453201145890901</v>
      </c>
      <c r="J95">
        <v>47.93684210526316</v>
      </c>
      <c r="K95">
        <v>-3.4859605110286838</v>
      </c>
      <c r="L95">
        <v>47.93684210526316</v>
      </c>
      <c r="M95">
        <v>-2.0946475754784708</v>
      </c>
      <c r="N95">
        <v>47.93684210526316</v>
      </c>
      <c r="O95">
        <v>2.7317850389528786</v>
      </c>
      <c r="R95">
        <v>47.93684210526316</v>
      </c>
      <c r="S95">
        <v>-4.7363705635070801</v>
      </c>
    </row>
    <row r="96" spans="1:19" x14ac:dyDescent="0.3">
      <c r="A96">
        <v>93</v>
      </c>
      <c r="B96">
        <v>48.457894736842107</v>
      </c>
      <c r="C96">
        <v>-4.7528414726257324</v>
      </c>
      <c r="D96">
        <v>48.457894736842107</v>
      </c>
      <c r="E96">
        <v>-4.7016586970738832</v>
      </c>
      <c r="F96">
        <v>48.457894736842107</v>
      </c>
      <c r="G96">
        <v>-4.5104680534718025</v>
      </c>
      <c r="H96">
        <v>48.457894736842107</v>
      </c>
      <c r="I96">
        <v>-4.146866365528167</v>
      </c>
      <c r="J96">
        <v>48.457894736842107</v>
      </c>
      <c r="K96">
        <v>-3.4841221515164831</v>
      </c>
      <c r="L96">
        <v>48.457894736842107</v>
      </c>
      <c r="M96">
        <v>-2.0518355474689791</v>
      </c>
      <c r="N96">
        <v>48.457894736842107</v>
      </c>
      <c r="O96">
        <v>2.9689686873365302</v>
      </c>
      <c r="R96">
        <v>48.457894736842107</v>
      </c>
      <c r="S96">
        <v>-4.7528414726257324</v>
      </c>
    </row>
    <row r="97" spans="1:19" x14ac:dyDescent="0.3">
      <c r="A97">
        <v>94</v>
      </c>
      <c r="B97">
        <v>48.978947368421053</v>
      </c>
      <c r="C97">
        <v>-4.7683448791503906</v>
      </c>
      <c r="D97">
        <v>48.978947368421053</v>
      </c>
      <c r="E97">
        <v>-4.7109602487931932</v>
      </c>
      <c r="F97">
        <v>48.978947368421053</v>
      </c>
      <c r="G97">
        <v>-4.5271771474697378</v>
      </c>
      <c r="H97">
        <v>48.978947368421053</v>
      </c>
      <c r="I97">
        <v>-4.1650001395172476</v>
      </c>
      <c r="J97">
        <v>48.978947368421053</v>
      </c>
      <c r="K97">
        <v>-3.481349804859021</v>
      </c>
      <c r="L97">
        <v>48.978947368421053</v>
      </c>
      <c r="M97">
        <v>-1.9748215164533351</v>
      </c>
      <c r="N97">
        <v>48.978947368421053</v>
      </c>
      <c r="O97">
        <v>3.2158070172911399</v>
      </c>
      <c r="R97">
        <v>48.978947368421053</v>
      </c>
      <c r="S97">
        <v>-4.7683448791503906</v>
      </c>
    </row>
    <row r="98" spans="1:19" x14ac:dyDescent="0.3">
      <c r="A98">
        <v>95</v>
      </c>
      <c r="B98">
        <v>49.5</v>
      </c>
      <c r="C98">
        <v>-4.7828841209411621</v>
      </c>
      <c r="D98">
        <v>49.5</v>
      </c>
      <c r="E98">
        <v>-4.725816133207636</v>
      </c>
      <c r="F98">
        <v>49.5</v>
      </c>
      <c r="G98">
        <v>-4.5429438022235225</v>
      </c>
      <c r="H98">
        <v>49.5</v>
      </c>
      <c r="I98">
        <v>-4.164723029089143</v>
      </c>
      <c r="J98">
        <v>49.5</v>
      </c>
      <c r="K98">
        <v>-3.4776466664326602</v>
      </c>
      <c r="L98">
        <v>49.5</v>
      </c>
      <c r="M98">
        <v>-1.9275083216044262</v>
      </c>
      <c r="N98">
        <v>49.5</v>
      </c>
      <c r="O98">
        <v>3.47250929967023</v>
      </c>
      <c r="R98">
        <v>49.5</v>
      </c>
      <c r="S98">
        <v>-4.7828841209411621</v>
      </c>
    </row>
    <row r="99" spans="1:19" x14ac:dyDescent="0.3">
      <c r="A99">
        <v>96</v>
      </c>
      <c r="B99">
        <v>50.021052631578947</v>
      </c>
      <c r="C99">
        <v>-4.7964572906494141</v>
      </c>
      <c r="D99">
        <v>50.021052631578947</v>
      </c>
      <c r="E99">
        <v>-4.7397111119489548</v>
      </c>
      <c r="F99">
        <v>50.021052631578947</v>
      </c>
      <c r="G99">
        <v>-4.5453688510248984</v>
      </c>
      <c r="H99">
        <v>50.021052631578947</v>
      </c>
      <c r="I99">
        <v>-4.1634824311731276</v>
      </c>
      <c r="J99">
        <v>50.021052631578947</v>
      </c>
      <c r="K99">
        <v>-3.4502094948111446</v>
      </c>
      <c r="L99">
        <v>50.021052631578947</v>
      </c>
      <c r="M99">
        <v>-1.8781526158087374</v>
      </c>
      <c r="N99">
        <v>50.021052631578947</v>
      </c>
      <c r="O99">
        <v>3.7392803043550322</v>
      </c>
      <c r="R99">
        <v>50.021052631578947</v>
      </c>
      <c r="S99">
        <v>-4.7964572906494141</v>
      </c>
    </row>
    <row r="100" spans="1:19" x14ac:dyDescent="0.3">
      <c r="A100">
        <v>97</v>
      </c>
      <c r="B100">
        <v>50.542105263157893</v>
      </c>
      <c r="C100">
        <v>-4.8090710639953613</v>
      </c>
      <c r="D100">
        <v>50.542105263157893</v>
      </c>
      <c r="E100">
        <v>-4.7526517038872171</v>
      </c>
      <c r="F100">
        <v>50.542105263157893</v>
      </c>
      <c r="G100">
        <v>-4.5593121498965257</v>
      </c>
      <c r="H100">
        <v>50.542105263157893</v>
      </c>
      <c r="I100">
        <v>-4.1612886397340043</v>
      </c>
      <c r="J100">
        <v>50.542105263157893</v>
      </c>
      <c r="K100">
        <v>-3.4445387147069697</v>
      </c>
      <c r="L100">
        <v>50.542105263157893</v>
      </c>
      <c r="M100">
        <v>-1.7923850974614073</v>
      </c>
      <c r="N100">
        <v>50.542105263157893</v>
      </c>
      <c r="O100">
        <v>4.016322902118036</v>
      </c>
      <c r="R100">
        <v>50.542105263157893</v>
      </c>
      <c r="S100">
        <v>-4.8090710639953613</v>
      </c>
    </row>
    <row r="101" spans="1:19" x14ac:dyDescent="0.3">
      <c r="A101">
        <v>98</v>
      </c>
      <c r="B101">
        <v>51.06315789473684</v>
      </c>
      <c r="C101">
        <v>-4.8207201957702637</v>
      </c>
      <c r="D101">
        <v>51.06315789473684</v>
      </c>
      <c r="E101">
        <v>-4.7646327350954056</v>
      </c>
      <c r="F101">
        <v>51.06315789473684</v>
      </c>
      <c r="G101">
        <v>-4.5597869341278905</v>
      </c>
      <c r="H101">
        <v>51.06315789473684</v>
      </c>
      <c r="I101">
        <v>-4.1759701549391615</v>
      </c>
      <c r="J101">
        <v>51.06315789473684</v>
      </c>
      <c r="K101">
        <v>-3.4379365783387001</v>
      </c>
      <c r="L101">
        <v>51.06315789473684</v>
      </c>
      <c r="M101">
        <v>-1.7381726865562741</v>
      </c>
      <c r="N101">
        <v>51.06315789473684</v>
      </c>
      <c r="O101">
        <v>4.3038339918796904</v>
      </c>
      <c r="R101">
        <v>51.06315789473684</v>
      </c>
      <c r="S101">
        <v>-4.8207201957702637</v>
      </c>
    </row>
    <row r="102" spans="1:19" x14ac:dyDescent="0.3">
      <c r="A102">
        <v>99</v>
      </c>
      <c r="B102">
        <v>51.584210526315786</v>
      </c>
      <c r="C102">
        <v>-4.8314108848571777</v>
      </c>
      <c r="D102">
        <v>51.584210526315786</v>
      </c>
      <c r="E102">
        <v>-4.7690167781899531</v>
      </c>
      <c r="F102">
        <v>51.584210526315786</v>
      </c>
      <c r="G102">
        <v>-4.57191258316473</v>
      </c>
      <c r="H102">
        <v>51.584210526315786</v>
      </c>
      <c r="I102">
        <v>-4.1719836050337253</v>
      </c>
      <c r="J102">
        <v>51.584210526315786</v>
      </c>
      <c r="K102">
        <v>-3.4071241240397141</v>
      </c>
      <c r="L102">
        <v>51.584210526315786</v>
      </c>
      <c r="M102">
        <v>-1.6458100420196853</v>
      </c>
      <c r="N102">
        <v>51.584210526315786</v>
      </c>
      <c r="O102">
        <v>4.602009326937428</v>
      </c>
      <c r="R102">
        <v>51.584210526315786</v>
      </c>
      <c r="S102">
        <v>-4.8314108848571777</v>
      </c>
    </row>
    <row r="103" spans="1:19" x14ac:dyDescent="0.3">
      <c r="A103">
        <v>100</v>
      </c>
      <c r="B103">
        <v>52.10526315789474</v>
      </c>
      <c r="C103">
        <v>-4.8411383628845215</v>
      </c>
      <c r="D103">
        <v>52.10526315789474</v>
      </c>
      <c r="E103">
        <v>-4.7791250851635283</v>
      </c>
      <c r="F103">
        <v>52.10526315789474</v>
      </c>
      <c r="G103">
        <v>-4.5830975529203748</v>
      </c>
      <c r="H103">
        <v>52.10526315789474</v>
      </c>
      <c r="I103">
        <v>-4.167052150783201</v>
      </c>
      <c r="J103">
        <v>52.10526315789474</v>
      </c>
      <c r="K103">
        <v>-3.3985465594242052</v>
      </c>
      <c r="L103">
        <v>52.10526315789474</v>
      </c>
      <c r="M103">
        <v>-1.5494793079700164</v>
      </c>
      <c r="N103">
        <v>52.10526315789474</v>
      </c>
      <c r="O103">
        <v>5.0170656420678572</v>
      </c>
      <c r="R103">
        <v>52.10526315789474</v>
      </c>
      <c r="S103">
        <v>-4.8411383628845215</v>
      </c>
    </row>
    <row r="104" spans="1:19" x14ac:dyDescent="0.3">
      <c r="A104">
        <v>101</v>
      </c>
      <c r="B104">
        <v>52.626315789473686</v>
      </c>
      <c r="C104">
        <v>-4.8499050140380859</v>
      </c>
      <c r="D104">
        <v>52.626315789473686</v>
      </c>
      <c r="E104">
        <v>-4.7882777558310021</v>
      </c>
      <c r="F104">
        <v>52.626315789473686</v>
      </c>
      <c r="G104">
        <v>-4.5807644447661726</v>
      </c>
      <c r="H104">
        <v>52.626315789473686</v>
      </c>
      <c r="I104">
        <v>-4.1611806706508059</v>
      </c>
      <c r="J104">
        <v>52.626315789473686</v>
      </c>
      <c r="K104">
        <v>-3.3653698966629446</v>
      </c>
      <c r="L104">
        <v>52.626315789473686</v>
      </c>
      <c r="M104">
        <v>-1.487103639495361</v>
      </c>
      <c r="N104">
        <v>52.626315789473686</v>
      </c>
      <c r="O104">
        <v>5.3406856951798884</v>
      </c>
      <c r="R104">
        <v>52.626315789473686</v>
      </c>
      <c r="S104">
        <v>-4.8499050140380859</v>
      </c>
    </row>
    <row r="105" spans="1:19" x14ac:dyDescent="0.3">
      <c r="A105">
        <v>102</v>
      </c>
      <c r="B105">
        <v>53.147368421052633</v>
      </c>
      <c r="C105">
        <v>-4.8577075004577637</v>
      </c>
      <c r="D105">
        <v>53.147368421052633</v>
      </c>
      <c r="E105">
        <v>-4.7964714704189007</v>
      </c>
      <c r="F105">
        <v>53.147368421052633</v>
      </c>
      <c r="G105">
        <v>-4.5901335773103931</v>
      </c>
      <c r="H105">
        <v>53.147368421052633</v>
      </c>
      <c r="I105">
        <v>-4.1543704639750061</v>
      </c>
      <c r="J105">
        <v>53.147368421052633</v>
      </c>
      <c r="K105">
        <v>-3.3548004730920304</v>
      </c>
      <c r="L105">
        <v>53.147368421052633</v>
      </c>
      <c r="M105">
        <v>-1.3835094103152392</v>
      </c>
      <c r="N105">
        <v>53.147368421052633</v>
      </c>
      <c r="O105">
        <v>5.6755991799240064</v>
      </c>
      <c r="R105">
        <v>53.147368421052633</v>
      </c>
      <c r="S105">
        <v>-4.8577075004577637</v>
      </c>
    </row>
    <row r="106" spans="1:19" x14ac:dyDescent="0.3">
      <c r="A106">
        <v>103</v>
      </c>
      <c r="B106">
        <v>53.668421052631579</v>
      </c>
      <c r="C106">
        <v>-4.8645415306091309</v>
      </c>
      <c r="D106">
        <v>53.668421052631579</v>
      </c>
      <c r="E106">
        <v>-4.8037018667471187</v>
      </c>
      <c r="F106">
        <v>53.668421052631579</v>
      </c>
      <c r="G106">
        <v>-4.5858732207198809</v>
      </c>
      <c r="H106">
        <v>53.668421052631579</v>
      </c>
      <c r="I106">
        <v>-4.1647818337362867</v>
      </c>
      <c r="J106">
        <v>53.668421052631579</v>
      </c>
      <c r="K106">
        <v>-3.3192209502604282</v>
      </c>
      <c r="L106">
        <v>53.668421052631579</v>
      </c>
      <c r="M106">
        <v>-1.2351313609446168</v>
      </c>
      <c r="N106">
        <v>53.668421052631579</v>
      </c>
      <c r="O106">
        <v>6.1401575649188906</v>
      </c>
      <c r="R106">
        <v>53.668421052631579</v>
      </c>
      <c r="S106">
        <v>-4.8645415306091309</v>
      </c>
    </row>
    <row r="107" spans="1:19" x14ac:dyDescent="0.3">
      <c r="A107">
        <v>104</v>
      </c>
      <c r="B107">
        <v>54.189473684210526</v>
      </c>
      <c r="C107">
        <v>-4.8704094886779785</v>
      </c>
      <c r="D107">
        <v>54.189473684210526</v>
      </c>
      <c r="E107">
        <v>-4.803200940983551</v>
      </c>
      <c r="F107">
        <v>54.189473684210526</v>
      </c>
      <c r="G107">
        <v>-4.5934204627792488</v>
      </c>
      <c r="H107">
        <v>54.189473684210526</v>
      </c>
      <c r="I107">
        <v>-4.1561927144010635</v>
      </c>
      <c r="J107">
        <v>54.189473684210526</v>
      </c>
      <c r="K107">
        <v>-3.3066362931756874</v>
      </c>
      <c r="L107">
        <v>54.189473684210526</v>
      </c>
      <c r="M107">
        <v>-1.1213725293727839</v>
      </c>
      <c r="N107">
        <v>54.189473684210526</v>
      </c>
      <c r="O107">
        <v>6.5019904573917788</v>
      </c>
      <c r="R107">
        <v>54.189473684210526</v>
      </c>
      <c r="S107">
        <v>-4.8704094886779785</v>
      </c>
    </row>
    <row r="108" spans="1:19" x14ac:dyDescent="0.3">
      <c r="A108">
        <v>105</v>
      </c>
      <c r="B108">
        <v>54.710526315789473</v>
      </c>
      <c r="C108">
        <v>-4.8753037452697754</v>
      </c>
      <c r="D108">
        <v>54.710526315789473</v>
      </c>
      <c r="E108">
        <v>-4.8085453229944246</v>
      </c>
      <c r="F108">
        <v>54.710526315789473</v>
      </c>
      <c r="G108">
        <v>-4.587238951214033</v>
      </c>
      <c r="H108">
        <v>54.710526315789473</v>
      </c>
      <c r="I108">
        <v>-4.1466647728253472</v>
      </c>
      <c r="J108">
        <v>54.710526315789473</v>
      </c>
      <c r="K108">
        <v>-3.2686100004757277</v>
      </c>
      <c r="L108">
        <v>54.710526315789473</v>
      </c>
      <c r="M108">
        <v>-1.0028581242526695</v>
      </c>
      <c r="N108">
        <v>54.710526315789473</v>
      </c>
      <c r="O108">
        <v>7.0029129782520601</v>
      </c>
      <c r="R108">
        <v>54.710526315789473</v>
      </c>
      <c r="S108">
        <v>-4.8753037452697754</v>
      </c>
    </row>
    <row r="109" spans="1:19" x14ac:dyDescent="0.3">
      <c r="A109">
        <v>106</v>
      </c>
      <c r="B109">
        <v>55.231578947368419</v>
      </c>
      <c r="C109">
        <v>-4.8792262077331543</v>
      </c>
      <c r="D109">
        <v>55.231578947368419</v>
      </c>
      <c r="E109">
        <v>-4.812923228627076</v>
      </c>
      <c r="F109">
        <v>55.231578947368419</v>
      </c>
      <c r="G109">
        <v>-4.5929566790973482</v>
      </c>
      <c r="H109">
        <v>55.231578947368419</v>
      </c>
      <c r="I109">
        <v>-4.1362017825798496</v>
      </c>
      <c r="J109">
        <v>55.231578947368419</v>
      </c>
      <c r="K109">
        <v>-3.2291901408392114</v>
      </c>
      <c r="L109">
        <v>55.231578947368419</v>
      </c>
      <c r="M109">
        <v>-0.83468905622309353</v>
      </c>
      <c r="N109">
        <v>55.231578947368419</v>
      </c>
      <c r="O109">
        <v>7.5252290146108551</v>
      </c>
      <c r="R109">
        <v>55.231578947368419</v>
      </c>
      <c r="S109">
        <v>-4.8792262077331543</v>
      </c>
    </row>
    <row r="110" spans="1:19" x14ac:dyDescent="0.3">
      <c r="A110">
        <v>107</v>
      </c>
      <c r="B110">
        <v>55.752631578947366</v>
      </c>
      <c r="C110">
        <v>-4.8821635246276855</v>
      </c>
      <c r="D110">
        <v>55.752631578947366</v>
      </c>
      <c r="E110">
        <v>-4.8163214197124686</v>
      </c>
      <c r="F110">
        <v>55.752631578947366</v>
      </c>
      <c r="G110">
        <v>-4.5848507677444728</v>
      </c>
      <c r="H110">
        <v>55.752631578947366</v>
      </c>
      <c r="I110">
        <v>-4.124796495649381</v>
      </c>
      <c r="J110">
        <v>55.752631578947366</v>
      </c>
      <c r="K110">
        <v>-3.1883500042567077</v>
      </c>
      <c r="L110">
        <v>55.752631578947366</v>
      </c>
      <c r="M110">
        <v>-0.70474133000916084</v>
      </c>
      <c r="R110">
        <v>55.752631578947366</v>
      </c>
      <c r="S110">
        <v>-4.8821635246276855</v>
      </c>
    </row>
    <row r="111" spans="1:19" x14ac:dyDescent="0.3">
      <c r="A111">
        <v>108</v>
      </c>
      <c r="B111">
        <v>56.273684210526319</v>
      </c>
      <c r="C111">
        <v>-4.8841147422790527</v>
      </c>
      <c r="D111">
        <v>56.273684210526319</v>
      </c>
      <c r="E111">
        <v>-4.8187387429602548</v>
      </c>
      <c r="F111">
        <v>56.273684210526319</v>
      </c>
      <c r="G111">
        <v>-4.5887175391257751</v>
      </c>
      <c r="H111">
        <v>56.273684210526319</v>
      </c>
      <c r="I111">
        <v>-4.1124494030452698</v>
      </c>
      <c r="J111">
        <v>56.273684210526319</v>
      </c>
      <c r="K111">
        <v>-3.1460648029457809</v>
      </c>
      <c r="L111">
        <v>56.273684210526319</v>
      </c>
      <c r="M111">
        <v>-0.52134943925015786</v>
      </c>
      <c r="R111">
        <v>56.273684210526319</v>
      </c>
      <c r="S111">
        <v>-4.8841147422790527</v>
      </c>
    </row>
    <row r="112" spans="1:19" x14ac:dyDescent="0.3">
      <c r="A112">
        <v>109</v>
      </c>
      <c r="B112">
        <v>56.794736842105266</v>
      </c>
      <c r="C112">
        <v>-4.8850746154785156</v>
      </c>
      <c r="D112">
        <v>56.794736842105266</v>
      </c>
      <c r="E112">
        <v>-4.8133100291979662</v>
      </c>
      <c r="F112">
        <v>56.794736842105266</v>
      </c>
      <c r="G112">
        <v>-4.5786796099477662</v>
      </c>
      <c r="H112">
        <v>56.794736842105266</v>
      </c>
      <c r="I112">
        <v>-4.0991582738139662</v>
      </c>
      <c r="J112">
        <v>56.794736842105266</v>
      </c>
      <c r="K112">
        <v>-3.1023087405382381</v>
      </c>
      <c r="L112">
        <v>56.794736842105266</v>
      </c>
      <c r="M112">
        <v>-0.3288435701070116</v>
      </c>
      <c r="R112">
        <v>56.794736842105266</v>
      </c>
      <c r="S112">
        <v>-4.8850746154785156</v>
      </c>
    </row>
    <row r="113" spans="1:19" x14ac:dyDescent="0.3">
      <c r="A113">
        <v>110</v>
      </c>
      <c r="B113">
        <v>57.315789473684212</v>
      </c>
      <c r="C113">
        <v>-4.8850388526916504</v>
      </c>
      <c r="D113">
        <v>57.315789473684212</v>
      </c>
      <c r="E113">
        <v>-4.8137987920136949</v>
      </c>
      <c r="F113">
        <v>57.315789473684212</v>
      </c>
      <c r="G113">
        <v>-4.5676016371497248</v>
      </c>
      <c r="H113">
        <v>57.315789473684212</v>
      </c>
      <c r="I113">
        <v>-4.0661360079327853</v>
      </c>
      <c r="J113">
        <v>57.315789473684212</v>
      </c>
      <c r="K113">
        <v>-3.0570530306178831</v>
      </c>
      <c r="L113">
        <v>57.315789473684212</v>
      </c>
      <c r="M113">
        <v>-0.12681100234564591</v>
      </c>
      <c r="R113">
        <v>57.315789473684212</v>
      </c>
      <c r="S113">
        <v>-4.8850388526916504</v>
      </c>
    </row>
    <row r="114" spans="1:19" x14ac:dyDescent="0.3">
      <c r="A114">
        <v>111</v>
      </c>
      <c r="B114">
        <v>57.836842105263159</v>
      </c>
      <c r="C114">
        <v>-4.8839921951293945</v>
      </c>
      <c r="D114">
        <v>57.836842105263159</v>
      </c>
      <c r="E114">
        <v>-4.8132825175174547</v>
      </c>
      <c r="F114">
        <v>57.836842105263159</v>
      </c>
      <c r="G114">
        <v>-4.5686962373050619</v>
      </c>
      <c r="H114">
        <v>57.836842105263159</v>
      </c>
      <c r="I114">
        <v>-4.0508593708520895</v>
      </c>
      <c r="J114">
        <v>57.836842105263159</v>
      </c>
      <c r="K114">
        <v>-3.0102682721709129</v>
      </c>
      <c r="L114">
        <v>57.836842105263159</v>
      </c>
      <c r="M114">
        <v>8.5161350748063969E-2</v>
      </c>
      <c r="R114">
        <v>57.836842105263159</v>
      </c>
      <c r="S114">
        <v>-4.8839921951293945</v>
      </c>
    </row>
    <row r="115" spans="1:19" x14ac:dyDescent="0.3">
      <c r="A115">
        <v>112</v>
      </c>
      <c r="B115">
        <v>58.357894736842105</v>
      </c>
      <c r="C115">
        <v>-4.8819379806518555</v>
      </c>
      <c r="D115">
        <v>58.357894736842105</v>
      </c>
      <c r="E115">
        <v>-4.8117638216520984</v>
      </c>
      <c r="F115">
        <v>58.357894736842105</v>
      </c>
      <c r="G115">
        <v>-4.5556679266192859</v>
      </c>
      <c r="H115">
        <v>58.357894736842105</v>
      </c>
      <c r="I115">
        <v>-4.0346280241574366</v>
      </c>
      <c r="J115">
        <v>58.357894736842105</v>
      </c>
      <c r="K115">
        <v>-2.9619217906183888</v>
      </c>
      <c r="L115">
        <v>58.357894736842105</v>
      </c>
      <c r="M115">
        <v>0.30749187775802733</v>
      </c>
      <c r="R115">
        <v>58.357894736842105</v>
      </c>
      <c r="S115">
        <v>-4.8819379806518555</v>
      </c>
    </row>
    <row r="116" spans="1:19" x14ac:dyDescent="0.3">
      <c r="A116">
        <v>113</v>
      </c>
      <c r="B116">
        <v>58.878947368421052</v>
      </c>
      <c r="C116">
        <v>-4.8788590431213379</v>
      </c>
      <c r="D116">
        <v>58.878947368421052</v>
      </c>
      <c r="E116">
        <v>-4.8022611040548906</v>
      </c>
      <c r="F116">
        <v>58.878947368421052</v>
      </c>
      <c r="G116">
        <v>-4.5415895017950429</v>
      </c>
      <c r="H116">
        <v>58.878947368421052</v>
      </c>
      <c r="I116">
        <v>-4.0174343117908613</v>
      </c>
      <c r="J116">
        <v>58.878947368421052</v>
      </c>
      <c r="K116">
        <v>-2.8845556282740308</v>
      </c>
      <c r="L116">
        <v>58.878947368421052</v>
      </c>
      <c r="M116">
        <v>0.60082434309265864</v>
      </c>
      <c r="R116">
        <v>58.878947368421052</v>
      </c>
      <c r="S116">
        <v>-4.8788590431213379</v>
      </c>
    </row>
    <row r="117" spans="1:19" x14ac:dyDescent="0.3">
      <c r="A117">
        <v>114</v>
      </c>
      <c r="B117">
        <v>59.4</v>
      </c>
      <c r="C117">
        <v>-4.874748706817627</v>
      </c>
      <c r="D117">
        <v>59.4</v>
      </c>
      <c r="E117">
        <v>-4.7987496187539911</v>
      </c>
      <c r="F117">
        <v>59.4</v>
      </c>
      <c r="G117">
        <v>-4.5398567877832061</v>
      </c>
      <c r="H117">
        <v>59.4</v>
      </c>
      <c r="I117">
        <v>-3.9992701092505358</v>
      </c>
      <c r="J117">
        <v>59.4</v>
      </c>
      <c r="K117">
        <v>-2.8325862201816872</v>
      </c>
      <c r="L117">
        <v>59.4</v>
      </c>
      <c r="M117">
        <v>0.84777473723095798</v>
      </c>
      <c r="R117">
        <v>59.4</v>
      </c>
      <c r="S117">
        <v>-4.874748706817627</v>
      </c>
    </row>
    <row r="118" spans="1:19" x14ac:dyDescent="0.3">
      <c r="A118">
        <v>115</v>
      </c>
      <c r="B118">
        <v>59.921052631578945</v>
      </c>
      <c r="C118">
        <v>-4.8695988655090332</v>
      </c>
      <c r="D118">
        <v>59.921052631578945</v>
      </c>
      <c r="E118">
        <v>-4.7942042038073875</v>
      </c>
      <c r="F118">
        <v>59.921052631578945</v>
      </c>
      <c r="G118">
        <v>-4.5237966241681775</v>
      </c>
      <c r="H118">
        <v>59.921052631578945</v>
      </c>
      <c r="I118">
        <v>-3.9607716839406923</v>
      </c>
      <c r="J118">
        <v>59.921052631578945</v>
      </c>
      <c r="K118">
        <v>-2.7504650880435753</v>
      </c>
      <c r="L118">
        <v>59.921052631578945</v>
      </c>
      <c r="M118">
        <v>1.1727992852649729</v>
      </c>
      <c r="R118">
        <v>59.921052631578945</v>
      </c>
      <c r="S118">
        <v>-4.8695988655090332</v>
      </c>
    </row>
    <row r="119" spans="1:19" x14ac:dyDescent="0.3">
      <c r="A119">
        <v>116</v>
      </c>
      <c r="B119">
        <v>60.442105263157892</v>
      </c>
      <c r="C119">
        <v>-4.8633975982666016</v>
      </c>
      <c r="D119">
        <v>60.442105263157892</v>
      </c>
      <c r="E119">
        <v>-4.7815156155201439</v>
      </c>
      <c r="F119">
        <v>60.442105263157892</v>
      </c>
      <c r="G119">
        <v>-4.5066755581823692</v>
      </c>
      <c r="H119">
        <v>60.442105263157892</v>
      </c>
      <c r="I119">
        <v>-3.9405660851946083</v>
      </c>
      <c r="J119">
        <v>60.442105263157892</v>
      </c>
      <c r="K119">
        <v>-2.6655242920269413</v>
      </c>
      <c r="L119">
        <v>60.442105263157892</v>
      </c>
      <c r="M119">
        <v>1.5165193306393605</v>
      </c>
      <c r="R119">
        <v>60.442105263157892</v>
      </c>
      <c r="S119">
        <v>-4.8633975982666016</v>
      </c>
    </row>
    <row r="120" spans="1:19" x14ac:dyDescent="0.3">
      <c r="A120">
        <v>117</v>
      </c>
      <c r="B120">
        <v>60.963157894736845</v>
      </c>
      <c r="C120">
        <v>-4.8561286926269531</v>
      </c>
      <c r="D120">
        <v>60.963157894736845</v>
      </c>
      <c r="E120">
        <v>-4.7749188218520189</v>
      </c>
      <c r="F120">
        <v>60.963157894736845</v>
      </c>
      <c r="G120">
        <v>-4.4884837022827941</v>
      </c>
      <c r="H120">
        <v>60.963157894736845</v>
      </c>
      <c r="I120">
        <v>-3.8996819937483442</v>
      </c>
      <c r="J120">
        <v>60.963157894736845</v>
      </c>
      <c r="K120">
        <v>-2.577647528710735</v>
      </c>
      <c r="L120">
        <v>60.963157894736845</v>
      </c>
      <c r="M120">
        <v>1.879800036486915</v>
      </c>
      <c r="R120">
        <v>60.963157894736845</v>
      </c>
      <c r="S120">
        <v>-4.8561286926269531</v>
      </c>
    </row>
    <row r="121" spans="1:19" x14ac:dyDescent="0.3">
      <c r="A121">
        <v>118</v>
      </c>
      <c r="B121">
        <v>61.484210526315792</v>
      </c>
      <c r="C121">
        <v>-4.8477911949157715</v>
      </c>
      <c r="D121">
        <v>61.484210526315792</v>
      </c>
      <c r="E121">
        <v>-4.7672591587457696</v>
      </c>
      <c r="F121">
        <v>61.484210526315792</v>
      </c>
      <c r="G121">
        <v>-4.4828871860431567</v>
      </c>
      <c r="H121">
        <v>61.484210526315792</v>
      </c>
      <c r="I121">
        <v>-3.8773955767476211</v>
      </c>
      <c r="J121">
        <v>61.484210526315792</v>
      </c>
      <c r="K121">
        <v>-2.4867296123457541</v>
      </c>
      <c r="L121">
        <v>61.484210526315792</v>
      </c>
      <c r="M121">
        <v>2.2634941812616769</v>
      </c>
      <c r="R121">
        <v>61.484210526315792</v>
      </c>
      <c r="S121">
        <v>-4.8477911949157715</v>
      </c>
    </row>
    <row r="122" spans="1:19" x14ac:dyDescent="0.3">
      <c r="A122">
        <v>119</v>
      </c>
      <c r="B122">
        <v>62.005263157894738</v>
      </c>
      <c r="C122">
        <v>-4.8383722305297852</v>
      </c>
      <c r="D122">
        <v>62.005263157894738</v>
      </c>
      <c r="E122">
        <v>-4.7513134938790955</v>
      </c>
      <c r="F122">
        <v>62.005263157894738</v>
      </c>
      <c r="G122">
        <v>-4.4626618001613574</v>
      </c>
      <c r="H122">
        <v>62.005263157894738</v>
      </c>
      <c r="I122">
        <v>-3.8340889457118621</v>
      </c>
      <c r="J122">
        <v>62.005263157894738</v>
      </c>
      <c r="K122">
        <v>-2.3926524023997642</v>
      </c>
      <c r="L122">
        <v>62.005263157894738</v>
      </c>
      <c r="M122">
        <v>2.6684622322056226</v>
      </c>
      <c r="R122">
        <v>62.005263157894738</v>
      </c>
      <c r="S122">
        <v>-4.8383722305297852</v>
      </c>
    </row>
    <row r="123" spans="1:19" x14ac:dyDescent="0.3">
      <c r="A123">
        <v>120</v>
      </c>
      <c r="B123">
        <v>62.526315789473685</v>
      </c>
      <c r="C123">
        <v>-4.8278427124023438</v>
      </c>
      <c r="D123">
        <v>62.526315789473685</v>
      </c>
      <c r="E123">
        <v>-4.7415334628913897</v>
      </c>
      <c r="F123">
        <v>62.526315789473685</v>
      </c>
      <c r="G123">
        <v>-4.4413402337145609</v>
      </c>
      <c r="H123">
        <v>62.526315789473685</v>
      </c>
      <c r="I123">
        <v>-3.7894229608000316</v>
      </c>
      <c r="J123">
        <v>62.526315789473685</v>
      </c>
      <c r="K123">
        <v>-2.2953030242476808</v>
      </c>
      <c r="L123">
        <v>62.526315789473685</v>
      </c>
      <c r="M123">
        <v>3.1829264296636488</v>
      </c>
      <c r="R123">
        <v>62.526315789473685</v>
      </c>
      <c r="S123">
        <v>-4.8278427124023438</v>
      </c>
    </row>
    <row r="124" spans="1:19" x14ac:dyDescent="0.3">
      <c r="A124">
        <v>121</v>
      </c>
      <c r="B124">
        <v>63.047368421052632</v>
      </c>
      <c r="C124">
        <v>-4.8162040710449219</v>
      </c>
      <c r="D124">
        <v>63.047368421052632</v>
      </c>
      <c r="E124">
        <v>-4.7306502110381423</v>
      </c>
      <c r="F124">
        <v>63.047368421052632</v>
      </c>
      <c r="G124">
        <v>-4.4189253153726957</v>
      </c>
      <c r="H124">
        <v>63.047368421052632</v>
      </c>
      <c r="I124">
        <v>-3.76388864612144</v>
      </c>
      <c r="J124">
        <v>63.047368421052632</v>
      </c>
      <c r="K124">
        <v>-2.1612341493756033</v>
      </c>
      <c r="L124">
        <v>63.047368421052632</v>
      </c>
      <c r="M124">
        <v>3.6376010880349816</v>
      </c>
      <c r="R124">
        <v>63.047368421052632</v>
      </c>
      <c r="S124">
        <v>-4.8162040710449219</v>
      </c>
    </row>
    <row r="125" spans="1:19" x14ac:dyDescent="0.3">
      <c r="A125">
        <v>122</v>
      </c>
      <c r="B125">
        <v>63.568421052631578</v>
      </c>
      <c r="C125">
        <v>-4.8034324645996094</v>
      </c>
      <c r="D125">
        <v>63.568421052631578</v>
      </c>
      <c r="E125">
        <v>-4.7113384558021618</v>
      </c>
      <c r="F125">
        <v>63.568421052631578</v>
      </c>
      <c r="G125">
        <v>-4.3954011695339137</v>
      </c>
      <c r="H125">
        <v>63.568421052631578</v>
      </c>
      <c r="I125">
        <v>-3.7167087226657616</v>
      </c>
      <c r="J125">
        <v>63.568421052631578</v>
      </c>
      <c r="K125">
        <v>-2.0560697233307392</v>
      </c>
      <c r="L125">
        <v>63.568421052631578</v>
      </c>
      <c r="M125">
        <v>4.2141071619294248</v>
      </c>
      <c r="R125">
        <v>63.568421052631578</v>
      </c>
      <c r="S125">
        <v>-4.8034324645996094</v>
      </c>
    </row>
    <row r="126" spans="1:19" x14ac:dyDescent="0.3">
      <c r="A126">
        <v>123</v>
      </c>
      <c r="B126">
        <v>64.089473684210532</v>
      </c>
      <c r="C126">
        <v>-4.789522647857666</v>
      </c>
      <c r="D126">
        <v>64.089473684210532</v>
      </c>
      <c r="E126">
        <v>-4.6982597031599429</v>
      </c>
      <c r="F126">
        <v>64.089473684210532</v>
      </c>
      <c r="G126">
        <v>-4.3707682998068806</v>
      </c>
      <c r="H126">
        <v>64.089473684210532</v>
      </c>
      <c r="I126">
        <v>-3.6681263478464099</v>
      </c>
      <c r="J126">
        <v>64.089473684210532</v>
      </c>
      <c r="K126">
        <v>-1.9117429214750863</v>
      </c>
      <c r="L126">
        <v>64.089473684210532</v>
      </c>
      <c r="M126">
        <v>4.826582440363687</v>
      </c>
      <c r="R126">
        <v>64.089473684210532</v>
      </c>
      <c r="S126">
        <v>-4.789522647857666</v>
      </c>
    </row>
    <row r="127" spans="1:19" x14ac:dyDescent="0.3">
      <c r="A127">
        <v>124</v>
      </c>
      <c r="B127">
        <v>64.610526315789471</v>
      </c>
      <c r="C127">
        <v>-4.7744431495666504</v>
      </c>
      <c r="D127">
        <v>64.610526315789471</v>
      </c>
      <c r="E127">
        <v>-4.6765780344070098</v>
      </c>
      <c r="F127">
        <v>64.610526315789471</v>
      </c>
      <c r="G127">
        <v>-4.3450007706596558</v>
      </c>
      <c r="H127">
        <v>64.610526315789471</v>
      </c>
      <c r="I127">
        <v>-3.6181039272208304</v>
      </c>
      <c r="J127">
        <v>64.610526315789471</v>
      </c>
      <c r="K127">
        <v>-1.7612729012850685</v>
      </c>
      <c r="L127">
        <v>64.610526315789471</v>
      </c>
      <c r="M127">
        <v>5.4765451217541461</v>
      </c>
      <c r="R127">
        <v>64.610526315789471</v>
      </c>
      <c r="S127">
        <v>-4.7744431495666504</v>
      </c>
    </row>
    <row r="128" spans="1:19" x14ac:dyDescent="0.3">
      <c r="A128">
        <v>125</v>
      </c>
      <c r="B128">
        <v>65.131578947368425</v>
      </c>
      <c r="C128">
        <v>-4.7581920623779297</v>
      </c>
      <c r="D128">
        <v>65.131578947368425</v>
      </c>
      <c r="E128">
        <v>-4.6612374830577945</v>
      </c>
      <c r="F128">
        <v>65.131578947368425</v>
      </c>
      <c r="G128">
        <v>-4.3181026139328207</v>
      </c>
      <c r="H128">
        <v>65.131578947368425</v>
      </c>
      <c r="I128">
        <v>-3.5666334006548164</v>
      </c>
      <c r="J128">
        <v>65.131578947368425</v>
      </c>
      <c r="K128">
        <v>-1.5657737452147868</v>
      </c>
      <c r="L128">
        <v>65.131578947368425</v>
      </c>
      <c r="M128">
        <v>6.1654823780143282</v>
      </c>
      <c r="R128">
        <v>65.131578947368425</v>
      </c>
      <c r="S128">
        <v>-4.7581920623779297</v>
      </c>
    </row>
    <row r="129" spans="1:19" x14ac:dyDescent="0.3">
      <c r="A129">
        <v>126</v>
      </c>
      <c r="B129">
        <v>65.652631578947364</v>
      </c>
      <c r="C129">
        <v>-4.7407422065734863</v>
      </c>
      <c r="D129">
        <v>65.652631578947364</v>
      </c>
      <c r="E129">
        <v>-4.6371390178936229</v>
      </c>
      <c r="F129">
        <v>65.652631578947364</v>
      </c>
      <c r="G129">
        <v>-4.2900490091528267</v>
      </c>
      <c r="H129">
        <v>65.652631578947364</v>
      </c>
      <c r="I129">
        <v>-3.5136756396549029</v>
      </c>
      <c r="J129">
        <v>65.652631578947364</v>
      </c>
      <c r="K129">
        <v>-1.4006320211813219</v>
      </c>
      <c r="L129">
        <v>65.652631578947364</v>
      </c>
      <c r="M129">
        <v>6.8948615622466178</v>
      </c>
      <c r="R129">
        <v>65.652631578947364</v>
      </c>
      <c r="S129">
        <v>-4.7407422065734863</v>
      </c>
    </row>
    <row r="130" spans="1:19" x14ac:dyDescent="0.3">
      <c r="A130">
        <v>127</v>
      </c>
      <c r="B130">
        <v>66.173684210526318</v>
      </c>
      <c r="C130">
        <v>-4.722083568572998</v>
      </c>
      <c r="D130">
        <v>66.173684210526318</v>
      </c>
      <c r="E130">
        <v>-4.619475237423611</v>
      </c>
      <c r="F130">
        <v>66.173684210526318</v>
      </c>
      <c r="G130">
        <v>-4.2608419466234881</v>
      </c>
      <c r="H130">
        <v>66.173684210526318</v>
      </c>
      <c r="I130">
        <v>-3.4371149125437972</v>
      </c>
      <c r="J130">
        <v>66.173684210526318</v>
      </c>
      <c r="K130">
        <v>-1.1862687644400434</v>
      </c>
      <c r="L130">
        <v>66.173684210526318</v>
      </c>
      <c r="M130">
        <v>7.798763425414144</v>
      </c>
      <c r="R130">
        <v>66.173684210526318</v>
      </c>
      <c r="S130">
        <v>-4.722083568572998</v>
      </c>
    </row>
    <row r="131" spans="1:19" x14ac:dyDescent="0.3">
      <c r="A131">
        <v>128</v>
      </c>
      <c r="B131">
        <v>66.694736842105257</v>
      </c>
      <c r="C131">
        <v>-4.7021908760070801</v>
      </c>
      <c r="D131">
        <v>66.694736842105257</v>
      </c>
      <c r="E131">
        <v>-4.6005830984543739</v>
      </c>
      <c r="F131">
        <v>66.694736842105257</v>
      </c>
      <c r="G131">
        <v>-4.2304541101677993</v>
      </c>
      <c r="H131">
        <v>66.694736842105257</v>
      </c>
      <c r="I131">
        <v>-3.3808286761315589</v>
      </c>
      <c r="J131">
        <v>66.694736842105257</v>
      </c>
      <c r="K131">
        <v>-0.96066924653056085</v>
      </c>
      <c r="R131">
        <v>66.694736842105257</v>
      </c>
      <c r="S131">
        <v>-4.7021908760070801</v>
      </c>
    </row>
    <row r="132" spans="1:19" x14ac:dyDescent="0.3">
      <c r="A132">
        <v>129</v>
      </c>
      <c r="B132">
        <v>67.215789473684211</v>
      </c>
      <c r="C132">
        <v>-4.6810417175292969</v>
      </c>
      <c r="D132">
        <v>67.215789473684211</v>
      </c>
      <c r="E132">
        <v>-4.572837842939169</v>
      </c>
      <c r="F132">
        <v>67.215789473684211</v>
      </c>
      <c r="G132">
        <v>-4.1988722982076681</v>
      </c>
      <c r="H132">
        <v>67.215789473684211</v>
      </c>
      <c r="I132">
        <v>-3.3229668909807861</v>
      </c>
      <c r="J132">
        <v>67.215789473684211</v>
      </c>
      <c r="K132">
        <v>-0.72320812851177296</v>
      </c>
      <c r="R132">
        <v>67.215789473684211</v>
      </c>
      <c r="S132">
        <v>-4.6810417175292969</v>
      </c>
    </row>
    <row r="133" spans="1:19" x14ac:dyDescent="0.3">
      <c r="A133">
        <v>130</v>
      </c>
      <c r="B133">
        <v>67.736842105263165</v>
      </c>
      <c r="C133">
        <v>-4.6586241722106934</v>
      </c>
      <c r="D133">
        <v>67.736842105263165</v>
      </c>
      <c r="E133">
        <v>-4.5515081233123045</v>
      </c>
      <c r="F133">
        <v>67.736842105263165</v>
      </c>
      <c r="G133">
        <v>-4.1513516941410984</v>
      </c>
      <c r="H133">
        <v>67.736842105263165</v>
      </c>
      <c r="I133">
        <v>-3.2403184601235204</v>
      </c>
      <c r="J133">
        <v>67.736842105263165</v>
      </c>
      <c r="K133">
        <v>-0.42389593660961827</v>
      </c>
      <c r="R133">
        <v>67.736842105263165</v>
      </c>
      <c r="S133">
        <v>-4.6586241722106934</v>
      </c>
    </row>
    <row r="134" spans="1:19" x14ac:dyDescent="0.3">
      <c r="A134">
        <v>131</v>
      </c>
      <c r="B134">
        <v>68.257894736842104</v>
      </c>
      <c r="C134">
        <v>-4.6349153518676758</v>
      </c>
      <c r="D134">
        <v>68.257894736842104</v>
      </c>
      <c r="E134">
        <v>-4.5211943291736567</v>
      </c>
      <c r="F134">
        <v>68.257894736842104</v>
      </c>
      <c r="G134">
        <v>-4.1172756606699741</v>
      </c>
      <c r="H134">
        <v>68.257894736842104</v>
      </c>
      <c r="I134">
        <v>-3.1552030502874908</v>
      </c>
      <c r="J134">
        <v>68.257894736842104</v>
      </c>
      <c r="K134">
        <v>-0.10583005785734101</v>
      </c>
      <c r="R134">
        <v>68.257894736842104</v>
      </c>
      <c r="S134">
        <v>-4.6349153518676758</v>
      </c>
    </row>
    <row r="135" spans="1:19" x14ac:dyDescent="0.3">
      <c r="A135">
        <v>132</v>
      </c>
      <c r="B135">
        <v>68.778947368421058</v>
      </c>
      <c r="C135">
        <v>-4.6098790168762207</v>
      </c>
      <c r="D135">
        <v>68.778947368421058</v>
      </c>
      <c r="E135">
        <v>-4.4894760523952204</v>
      </c>
      <c r="F135">
        <v>68.778947368421058</v>
      </c>
      <c r="G135">
        <v>-4.0819548792737415</v>
      </c>
      <c r="H135">
        <v>68.778947368421058</v>
      </c>
      <c r="I135">
        <v>-3.0675396594172391</v>
      </c>
      <c r="J135">
        <v>68.778947368421058</v>
      </c>
      <c r="K135">
        <v>0.23213804917314285</v>
      </c>
      <c r="R135">
        <v>68.778947368421058</v>
      </c>
      <c r="S135">
        <v>-4.6098790168762207</v>
      </c>
    </row>
    <row r="136" spans="1:19" x14ac:dyDescent="0.3">
      <c r="A136">
        <v>133</v>
      </c>
      <c r="B136">
        <v>69.3</v>
      </c>
      <c r="C136">
        <v>-4.5835232734680176</v>
      </c>
      <c r="D136">
        <v>69.3</v>
      </c>
      <c r="E136">
        <v>-4.4643840268424055</v>
      </c>
      <c r="F136">
        <v>69.3</v>
      </c>
      <c r="G136">
        <v>-4.0302721890282376</v>
      </c>
      <c r="H136">
        <v>69.3</v>
      </c>
      <c r="I136">
        <v>-2.9772541009207298</v>
      </c>
      <c r="J136">
        <v>69.3</v>
      </c>
      <c r="K136">
        <v>0.65099293017203097</v>
      </c>
      <c r="R136">
        <v>69.3</v>
      </c>
      <c r="S136">
        <v>-4.5835232734680176</v>
      </c>
    </row>
    <row r="137" spans="1:19" x14ac:dyDescent="0.3">
      <c r="A137">
        <v>134</v>
      </c>
      <c r="B137">
        <v>69.821052631578951</v>
      </c>
      <c r="C137">
        <v>-4.5557928085327148</v>
      </c>
      <c r="D137">
        <v>69.821052631578951</v>
      </c>
      <c r="E137">
        <v>-4.4299926791593354</v>
      </c>
      <c r="F137">
        <v>69.821052631578951</v>
      </c>
      <c r="G137">
        <v>-3.9923651992293752</v>
      </c>
      <c r="H137">
        <v>69.821052631578951</v>
      </c>
      <c r="I137">
        <v>-2.8842669043010054</v>
      </c>
      <c r="J137">
        <v>69.821052631578951</v>
      </c>
      <c r="K137">
        <v>1.0359788527052869</v>
      </c>
      <c r="R137">
        <v>69.821052631578951</v>
      </c>
      <c r="S137">
        <v>-4.5557928085327148</v>
      </c>
    </row>
    <row r="138" spans="1:19" x14ac:dyDescent="0.3">
      <c r="A138">
        <v>135</v>
      </c>
      <c r="B138">
        <v>70.34210526315789</v>
      </c>
      <c r="C138">
        <v>-4.5266799926757813</v>
      </c>
      <c r="D138">
        <v>70.34210526315789</v>
      </c>
      <c r="E138">
        <v>-4.4022425824750311</v>
      </c>
      <c r="F138">
        <v>70.34210526315789</v>
      </c>
      <c r="G138">
        <v>-3.9377473375159968</v>
      </c>
      <c r="H138">
        <v>70.34210526315789</v>
      </c>
      <c r="I138">
        <v>-2.7622696872752588</v>
      </c>
      <c r="J138">
        <v>70.34210526315789</v>
      </c>
      <c r="K138">
        <v>1.5816987151897466</v>
      </c>
      <c r="R138">
        <v>70.34210526315789</v>
      </c>
      <c r="S138">
        <v>-4.5266799926757813</v>
      </c>
    </row>
    <row r="139" spans="1:19" x14ac:dyDescent="0.3">
      <c r="A139">
        <v>136</v>
      </c>
      <c r="B139">
        <v>70.863157894736844</v>
      </c>
      <c r="C139">
        <v>-4.4961695671081543</v>
      </c>
      <c r="D139">
        <v>70.863157894736844</v>
      </c>
      <c r="E139">
        <v>-4.365104940784363</v>
      </c>
      <c r="F139">
        <v>70.863157894736844</v>
      </c>
      <c r="G139">
        <v>-3.8815353085565274</v>
      </c>
      <c r="H139">
        <v>70.863157894736844</v>
      </c>
      <c r="I139">
        <v>-2.6629725832453635</v>
      </c>
      <c r="J139">
        <v>70.863157894736844</v>
      </c>
      <c r="K139">
        <v>2.0974096058684606</v>
      </c>
      <c r="R139">
        <v>70.863157894736844</v>
      </c>
      <c r="S139">
        <v>-4.4961695671081543</v>
      </c>
    </row>
    <row r="140" spans="1:19" x14ac:dyDescent="0.3">
      <c r="A140">
        <v>137</v>
      </c>
      <c r="B140">
        <v>71.384210526315783</v>
      </c>
      <c r="C140">
        <v>-4.4642043113708496</v>
      </c>
      <c r="D140">
        <v>71.384210526315783</v>
      </c>
      <c r="E140">
        <v>-4.3264703308525325</v>
      </c>
      <c r="F140">
        <v>71.384210526315783</v>
      </c>
      <c r="G140">
        <v>-3.8395685792606948</v>
      </c>
      <c r="H140">
        <v>71.384210526315783</v>
      </c>
      <c r="I140">
        <v>-2.5329158862570949</v>
      </c>
      <c r="J140">
        <v>71.384210526315783</v>
      </c>
      <c r="K140">
        <v>2.7293157344560983</v>
      </c>
      <c r="R140">
        <v>71.384210526315783</v>
      </c>
      <c r="S140">
        <v>-4.4642043113708496</v>
      </c>
    </row>
    <row r="141" spans="1:19" x14ac:dyDescent="0.3">
      <c r="A141">
        <v>138</v>
      </c>
      <c r="B141">
        <v>71.905263157894737</v>
      </c>
      <c r="C141">
        <v>-4.4307947158813477</v>
      </c>
      <c r="D141">
        <v>71.905263157894737</v>
      </c>
      <c r="E141">
        <v>-4.286355505220671</v>
      </c>
      <c r="F141">
        <v>71.905263157894737</v>
      </c>
      <c r="G141">
        <v>-3.7803286136414433</v>
      </c>
      <c r="H141">
        <v>71.905263157894737</v>
      </c>
      <c r="I141">
        <v>-2.3981206494592975</v>
      </c>
      <c r="J141">
        <v>71.905263157894737</v>
      </c>
      <c r="K141">
        <v>3.4114979403477057</v>
      </c>
      <c r="R141">
        <v>71.905263157894737</v>
      </c>
      <c r="S141">
        <v>-4.4307947158813477</v>
      </c>
    </row>
    <row r="142" spans="1:19" x14ac:dyDescent="0.3">
      <c r="A142">
        <v>139</v>
      </c>
      <c r="B142">
        <v>72.426315789473691</v>
      </c>
      <c r="C142">
        <v>-4.395899772644043</v>
      </c>
      <c r="D142">
        <v>72.426315789473691</v>
      </c>
      <c r="E142">
        <v>-4.25311879873379</v>
      </c>
      <c r="F142">
        <v>72.426315789473691</v>
      </c>
      <c r="G142">
        <v>-3.7194301726815411</v>
      </c>
      <c r="H142">
        <v>72.426315789473691</v>
      </c>
      <c r="I142">
        <v>-2.2283545180087438</v>
      </c>
      <c r="J142">
        <v>72.426315789473691</v>
      </c>
      <c r="K142">
        <v>4.1469722408815191</v>
      </c>
      <c r="R142">
        <v>72.426315789473691</v>
      </c>
      <c r="S142">
        <v>-4.395899772644043</v>
      </c>
    </row>
    <row r="143" spans="1:19" x14ac:dyDescent="0.3">
      <c r="A143">
        <v>140</v>
      </c>
      <c r="B143">
        <v>72.94736842105263</v>
      </c>
      <c r="C143">
        <v>-4.3594875335693359</v>
      </c>
      <c r="D143">
        <v>72.94736842105263</v>
      </c>
      <c r="E143">
        <v>-4.2100763846120284</v>
      </c>
      <c r="F143">
        <v>72.94736842105263</v>
      </c>
      <c r="G143">
        <v>-3.6568526905628982</v>
      </c>
      <c r="H143">
        <v>72.94736842105263</v>
      </c>
      <c r="I143">
        <v>-2.050970116938462</v>
      </c>
      <c r="J143">
        <v>72.94736842105263</v>
      </c>
      <c r="K143">
        <v>5.0406332530770221</v>
      </c>
      <c r="R143">
        <v>72.94736842105263</v>
      </c>
      <c r="S143">
        <v>-4.3594875335693359</v>
      </c>
    </row>
    <row r="144" spans="1:19" x14ac:dyDescent="0.3">
      <c r="A144">
        <v>141</v>
      </c>
      <c r="B144">
        <v>73.468421052631584</v>
      </c>
      <c r="C144">
        <v>-4.3215241432189941</v>
      </c>
      <c r="D144">
        <v>73.468421052631584</v>
      </c>
      <c r="E144">
        <v>-4.1654701723000311</v>
      </c>
      <c r="F144">
        <v>73.468421052631584</v>
      </c>
      <c r="G144">
        <v>-3.592573356542732</v>
      </c>
      <c r="H144">
        <v>73.468421052631584</v>
      </c>
      <c r="I144">
        <v>-1.865549044017583</v>
      </c>
      <c r="J144">
        <v>73.468421052631584</v>
      </c>
      <c r="K144">
        <v>6.0103349174908267</v>
      </c>
      <c r="R144">
        <v>73.468421052631584</v>
      </c>
      <c r="S144">
        <v>-4.3215241432189941</v>
      </c>
    </row>
    <row r="145" spans="1:19" x14ac:dyDescent="0.3">
      <c r="A145">
        <v>142</v>
      </c>
      <c r="B145">
        <v>73.989473684210523</v>
      </c>
      <c r="C145">
        <v>-4.2820000648498535</v>
      </c>
      <c r="D145">
        <v>73.989473684210523</v>
      </c>
      <c r="E145">
        <v>-4.1192962261338852</v>
      </c>
      <c r="F145">
        <v>73.989473684210523</v>
      </c>
      <c r="G145">
        <v>-3.5095579530332497</v>
      </c>
      <c r="H145">
        <v>73.989473684210523</v>
      </c>
      <c r="I145">
        <v>-1.6716523930007674</v>
      </c>
      <c r="J145">
        <v>73.989473684210523</v>
      </c>
      <c r="K145">
        <v>7.181977539972717</v>
      </c>
      <c r="R145">
        <v>73.989473684210523</v>
      </c>
      <c r="S145">
        <v>-4.2820000648498535</v>
      </c>
    </row>
    <row r="146" spans="1:19" x14ac:dyDescent="0.3">
      <c r="A146">
        <v>143</v>
      </c>
      <c r="B146">
        <v>74.510526315789477</v>
      </c>
      <c r="C146">
        <v>-4.2408699989318848</v>
      </c>
      <c r="D146">
        <v>74.510526315789477</v>
      </c>
      <c r="E146">
        <v>-4.0715204828001887</v>
      </c>
      <c r="F146">
        <v>74.510526315789477</v>
      </c>
      <c r="G146">
        <v>-3.4415802170843888</v>
      </c>
      <c r="H146">
        <v>74.510526315789477</v>
      </c>
      <c r="I146">
        <v>-1.4324390904105266</v>
      </c>
      <c r="R146">
        <v>74.510526315789477</v>
      </c>
      <c r="S146">
        <v>-4.2408699989318848</v>
      </c>
    </row>
    <row r="147" spans="1:19" x14ac:dyDescent="0.3">
      <c r="A147">
        <v>144</v>
      </c>
      <c r="B147">
        <v>75.031578947368416</v>
      </c>
      <c r="C147">
        <v>-4.1981320381164551</v>
      </c>
      <c r="D147">
        <v>75.031578947368416</v>
      </c>
      <c r="E147">
        <v>-4.0221450881990943</v>
      </c>
      <c r="F147">
        <v>75.031578947368416</v>
      </c>
      <c r="G147">
        <v>-3.3541818568396136</v>
      </c>
      <c r="H147">
        <v>75.031578947368416</v>
      </c>
      <c r="I147">
        <v>-1.1799735553989879</v>
      </c>
      <c r="R147">
        <v>75.031578947368416</v>
      </c>
      <c r="S147">
        <v>-4.1981320381164551</v>
      </c>
    </row>
    <row r="148" spans="1:19" x14ac:dyDescent="0.3">
      <c r="A148">
        <v>145</v>
      </c>
      <c r="B148">
        <v>75.55263157894737</v>
      </c>
      <c r="C148">
        <v>-4.1537270545959473</v>
      </c>
      <c r="D148">
        <v>75.55263157894737</v>
      </c>
      <c r="E148">
        <v>-3.9711236919086517</v>
      </c>
      <c r="F148">
        <v>75.55263157894737</v>
      </c>
      <c r="G148">
        <v>-3.2823997270802936</v>
      </c>
      <c r="H148">
        <v>75.55263157894737</v>
      </c>
      <c r="I148">
        <v>-0.87220121525266725</v>
      </c>
      <c r="R148">
        <v>75.55263157894737</v>
      </c>
      <c r="S148">
        <v>-4.1537270545959473</v>
      </c>
    </row>
    <row r="149" spans="1:19" x14ac:dyDescent="0.3">
      <c r="A149">
        <v>146</v>
      </c>
      <c r="B149">
        <v>76.073684210526309</v>
      </c>
      <c r="C149">
        <v>-4.1076383590698242</v>
      </c>
      <c r="D149">
        <v>76.073684210526309</v>
      </c>
      <c r="E149">
        <v>-3.9184451295689833</v>
      </c>
      <c r="F149">
        <v>76.073684210526309</v>
      </c>
      <c r="G149">
        <v>-3.1904739531260855</v>
      </c>
      <c r="H149">
        <v>76.073684210526309</v>
      </c>
      <c r="I149">
        <v>-0.54419477734706789</v>
      </c>
      <c r="R149">
        <v>76.073684210526309</v>
      </c>
      <c r="S149">
        <v>-4.1076383590698242</v>
      </c>
    </row>
    <row r="150" spans="1:19" x14ac:dyDescent="0.3">
      <c r="A150">
        <v>147</v>
      </c>
      <c r="B150">
        <v>76.594736842105263</v>
      </c>
      <c r="C150">
        <v>-4.059852123260498</v>
      </c>
      <c r="D150">
        <v>76.594736842105263</v>
      </c>
      <c r="E150">
        <v>-3.8640987235971211</v>
      </c>
      <c r="F150">
        <v>76.594736842105263</v>
      </c>
      <c r="G150">
        <v>-3.096011891205352</v>
      </c>
      <c r="H150">
        <v>76.594736842105263</v>
      </c>
      <c r="I150">
        <v>-0.14683610252485629</v>
      </c>
      <c r="R150">
        <v>76.594736842105263</v>
      </c>
      <c r="S150">
        <v>-4.059852123260498</v>
      </c>
    </row>
    <row r="151" spans="1:19" x14ac:dyDescent="0.3">
      <c r="A151">
        <v>148</v>
      </c>
      <c r="B151">
        <v>77.115789473684217</v>
      </c>
      <c r="C151">
        <v>-4.0102825164794922</v>
      </c>
      <c r="D151">
        <v>77.115789473684217</v>
      </c>
      <c r="E151">
        <v>-3.8080173658225376</v>
      </c>
      <c r="F151">
        <v>77.115789473684217</v>
      </c>
      <c r="G151">
        <v>-2.9795700933586335</v>
      </c>
      <c r="H151">
        <v>77.115789473684217</v>
      </c>
      <c r="I151">
        <v>0.28077017633883</v>
      </c>
      <c r="R151">
        <v>77.115789473684217</v>
      </c>
      <c r="S151">
        <v>-4.0102825164794922</v>
      </c>
    </row>
    <row r="152" spans="1:19" x14ac:dyDescent="0.3">
      <c r="A152">
        <v>149</v>
      </c>
      <c r="B152">
        <v>77.636842105263156</v>
      </c>
      <c r="C152">
        <v>-3.9589719772338867</v>
      </c>
      <c r="D152">
        <v>77.636842105263156</v>
      </c>
      <c r="E152">
        <v>-3.7502360877628451</v>
      </c>
      <c r="F152">
        <v>77.636842105263156</v>
      </c>
      <c r="G152">
        <v>-2.879424325713793</v>
      </c>
      <c r="H152">
        <v>77.636842105263156</v>
      </c>
      <c r="I152">
        <v>0.79714732331394678</v>
      </c>
      <c r="R152">
        <v>77.636842105263156</v>
      </c>
      <c r="S152">
        <v>-3.9589719772338867</v>
      </c>
    </row>
    <row r="153" spans="1:19" x14ac:dyDescent="0.3">
      <c r="A153">
        <v>150</v>
      </c>
      <c r="B153">
        <v>78.15789473684211</v>
      </c>
      <c r="C153">
        <v>-3.9058384895324707</v>
      </c>
      <c r="D153">
        <v>78.15789473684211</v>
      </c>
      <c r="E153">
        <v>-3.6812942749151096</v>
      </c>
      <c r="F153">
        <v>78.15789473684211</v>
      </c>
      <c r="G153">
        <v>-2.7560636253225148</v>
      </c>
      <c r="H153">
        <v>78.15789473684211</v>
      </c>
      <c r="I153">
        <v>1.4199174449829353</v>
      </c>
      <c r="R153">
        <v>78.15789473684211</v>
      </c>
      <c r="S153">
        <v>-3.9058384895324707</v>
      </c>
    </row>
    <row r="154" spans="1:19" x14ac:dyDescent="0.3">
      <c r="A154">
        <v>151</v>
      </c>
      <c r="B154">
        <v>78.678947368421049</v>
      </c>
      <c r="C154">
        <v>-3.8508725166320801</v>
      </c>
      <c r="D154">
        <v>78.678947368421049</v>
      </c>
      <c r="E154">
        <v>-3.6199151907396119</v>
      </c>
      <c r="F154">
        <v>78.678947368421049</v>
      </c>
      <c r="G154">
        <v>-2.6287375949189498</v>
      </c>
      <c r="H154">
        <v>78.678947368421049</v>
      </c>
      <c r="I154">
        <v>2.102123212172426</v>
      </c>
      <c r="R154">
        <v>78.678947368421049</v>
      </c>
      <c r="S154">
        <v>-3.8508725166320801</v>
      </c>
    </row>
    <row r="155" spans="1:19" x14ac:dyDescent="0.3">
      <c r="A155">
        <v>152</v>
      </c>
      <c r="B155">
        <v>79.2</v>
      </c>
      <c r="C155">
        <v>-3.7940382957458496</v>
      </c>
      <c r="D155">
        <v>79.2</v>
      </c>
      <c r="E155">
        <v>-3.5470451699338081</v>
      </c>
      <c r="F155">
        <v>79.2</v>
      </c>
      <c r="G155">
        <v>-2.4973477883194213</v>
      </c>
      <c r="H155">
        <v>79.2</v>
      </c>
      <c r="I155">
        <v>2.9243225729823186</v>
      </c>
      <c r="R155">
        <v>79.2</v>
      </c>
      <c r="S155">
        <v>-3.7940382957458496</v>
      </c>
    </row>
    <row r="156" spans="1:19" x14ac:dyDescent="0.3">
      <c r="A156">
        <v>153</v>
      </c>
      <c r="B156">
        <v>79.721052631578942</v>
      </c>
      <c r="C156">
        <v>-3.7352983951568604</v>
      </c>
      <c r="D156">
        <v>79.721052631578942</v>
      </c>
      <c r="E156">
        <v>-3.4819943125874051</v>
      </c>
      <c r="F156">
        <v>79.721052631578942</v>
      </c>
      <c r="G156">
        <v>-2.3388140776431614</v>
      </c>
      <c r="H156">
        <v>79.721052631578942</v>
      </c>
      <c r="I156">
        <v>3.915815176878918</v>
      </c>
      <c r="R156">
        <v>79.721052631578942</v>
      </c>
      <c r="S156">
        <v>-3.7352983951568604</v>
      </c>
    </row>
    <row r="157" spans="1:19" x14ac:dyDescent="0.3">
      <c r="A157">
        <v>154</v>
      </c>
      <c r="B157">
        <v>80.242105263157896</v>
      </c>
      <c r="C157">
        <v>-3.6746282577514648</v>
      </c>
      <c r="D157">
        <v>80.242105263157896</v>
      </c>
      <c r="E157">
        <v>-3.4051324678023454</v>
      </c>
      <c r="F157">
        <v>80.242105263157896</v>
      </c>
      <c r="G157">
        <v>-2.1741160401833932</v>
      </c>
      <c r="H157">
        <v>80.242105263157896</v>
      </c>
      <c r="I157">
        <v>5.1125686288887922</v>
      </c>
      <c r="R157">
        <v>80.242105263157896</v>
      </c>
      <c r="S157">
        <v>-3.6746282577514648</v>
      </c>
    </row>
    <row r="158" spans="1:19" x14ac:dyDescent="0.3">
      <c r="A158">
        <v>155</v>
      </c>
      <c r="B158">
        <v>80.763157894736835</v>
      </c>
      <c r="C158">
        <v>-3.6119840145111084</v>
      </c>
      <c r="D158">
        <v>80.763157894736835</v>
      </c>
      <c r="E158">
        <v>-3.3261366250206024</v>
      </c>
      <c r="F158">
        <v>80.763157894736835</v>
      </c>
      <c r="G158">
        <v>-2.0029708514283255</v>
      </c>
      <c r="H158">
        <v>80.763157894736835</v>
      </c>
      <c r="I158">
        <v>6.45004968766444</v>
      </c>
      <c r="R158">
        <v>80.763157894736835</v>
      </c>
      <c r="S158">
        <v>-3.6119840145111084</v>
      </c>
    </row>
    <row r="159" spans="1:19" x14ac:dyDescent="0.3">
      <c r="A159">
        <v>156</v>
      </c>
      <c r="B159">
        <v>81.284210526315789</v>
      </c>
      <c r="C159">
        <v>-3.5473873615264893</v>
      </c>
      <c r="D159">
        <v>81.284210526315789</v>
      </c>
      <c r="E159">
        <v>-3.245041958037838</v>
      </c>
      <c r="F159">
        <v>81.284210526315789</v>
      </c>
      <c r="G159">
        <v>-1.798642301302241</v>
      </c>
      <c r="R159">
        <v>81.284210526315789</v>
      </c>
      <c r="S159">
        <v>-3.5473873615264893</v>
      </c>
    </row>
    <row r="160" spans="1:19" x14ac:dyDescent="0.3">
      <c r="A160">
        <v>157</v>
      </c>
      <c r="B160">
        <v>81.805263157894743</v>
      </c>
      <c r="C160">
        <v>-3.4806945323944092</v>
      </c>
      <c r="D160">
        <v>81.805263157894743</v>
      </c>
      <c r="E160">
        <v>-3.161744169029677</v>
      </c>
      <c r="F160">
        <v>81.805263157894743</v>
      </c>
      <c r="G160">
        <v>-1.5562777028928791</v>
      </c>
      <c r="R160">
        <v>81.805263157894743</v>
      </c>
      <c r="S160">
        <v>-3.4806945323944092</v>
      </c>
    </row>
    <row r="161" spans="1:19" x14ac:dyDescent="0.3">
      <c r="A161">
        <v>158</v>
      </c>
      <c r="B161">
        <v>82.326315789473682</v>
      </c>
      <c r="C161">
        <v>-3.4120216369628906</v>
      </c>
      <c r="D161">
        <v>82.326315789473682</v>
      </c>
      <c r="E161">
        <v>-3.0763463146697072</v>
      </c>
      <c r="F161">
        <v>82.326315789473682</v>
      </c>
      <c r="G161">
        <v>-1.3001324411110367</v>
      </c>
      <c r="R161">
        <v>82.326315789473682</v>
      </c>
      <c r="S161">
        <v>-3.4120216369628906</v>
      </c>
    </row>
    <row r="162" spans="1:19" x14ac:dyDescent="0.3">
      <c r="A162">
        <v>159</v>
      </c>
      <c r="B162">
        <v>82.847368421052636</v>
      </c>
      <c r="C162">
        <v>-3.3412573337554932</v>
      </c>
      <c r="D162">
        <v>82.847368421052636</v>
      </c>
      <c r="E162">
        <v>-2.9887770102087146</v>
      </c>
      <c r="F162">
        <v>82.847368421052636</v>
      </c>
      <c r="G162">
        <v>-0.99669464175711808</v>
      </c>
      <c r="R162">
        <v>82.847368421052636</v>
      </c>
      <c r="S162">
        <v>-3.3412573337554932</v>
      </c>
    </row>
    <row r="163" spans="1:19" x14ac:dyDescent="0.3">
      <c r="A163">
        <v>160</v>
      </c>
      <c r="B163">
        <v>83.368421052631575</v>
      </c>
      <c r="C163">
        <v>-3.2683484554290771</v>
      </c>
      <c r="D163">
        <v>83.368421052631575</v>
      </c>
      <c r="E163">
        <v>-2.8876600537680401</v>
      </c>
      <c r="F163">
        <v>83.368421052631575</v>
      </c>
      <c r="G163">
        <v>-0.63726919407141347</v>
      </c>
      <c r="R163">
        <v>83.368421052631575</v>
      </c>
      <c r="S163">
        <v>-3.2683484554290771</v>
      </c>
    </row>
    <row r="164" spans="1:19" x14ac:dyDescent="0.3">
      <c r="A164">
        <v>161</v>
      </c>
      <c r="B164">
        <v>83.889473684210529</v>
      </c>
      <c r="C164">
        <v>-3.1932756900787354</v>
      </c>
      <c r="D164">
        <v>83.889473684210529</v>
      </c>
      <c r="E164">
        <v>-2.7954902462579616</v>
      </c>
      <c r="F164">
        <v>83.889473684210529</v>
      </c>
      <c r="G164">
        <v>-0.21079018687678086</v>
      </c>
      <c r="R164">
        <v>83.889473684210529</v>
      </c>
      <c r="S164">
        <v>-3.1932756900787354</v>
      </c>
    </row>
    <row r="165" spans="1:19" x14ac:dyDescent="0.3">
      <c r="A165">
        <v>162</v>
      </c>
      <c r="B165">
        <v>84.410526315789468</v>
      </c>
      <c r="C165">
        <v>-3.1160786151885986</v>
      </c>
      <c r="D165">
        <v>84.410526315789468</v>
      </c>
      <c r="E165">
        <v>-2.6892907702070663</v>
      </c>
      <c r="F165">
        <v>84.410526315789468</v>
      </c>
      <c r="G165">
        <v>0.29679217198051083</v>
      </c>
      <c r="R165">
        <v>84.410526315789468</v>
      </c>
      <c r="S165">
        <v>-3.1160786151885986</v>
      </c>
    </row>
    <row r="166" spans="1:19" x14ac:dyDescent="0.3">
      <c r="A166">
        <v>163</v>
      </c>
      <c r="B166">
        <v>84.931578947368422</v>
      </c>
      <c r="C166">
        <v>-3.0366702079772949</v>
      </c>
      <c r="D166">
        <v>84.931578947368422</v>
      </c>
      <c r="E166">
        <v>-2.5803356996405338</v>
      </c>
      <c r="F166">
        <v>84.931578947368422</v>
      </c>
      <c r="G166">
        <v>0.90314747386905836</v>
      </c>
      <c r="R166">
        <v>84.931578947368422</v>
      </c>
      <c r="S166">
        <v>-3.0366702079772949</v>
      </c>
    </row>
    <row r="167" spans="1:19" x14ac:dyDescent="0.3">
      <c r="A167">
        <v>164</v>
      </c>
      <c r="B167">
        <v>85.452631578947361</v>
      </c>
      <c r="C167">
        <v>-2.955035924911499</v>
      </c>
      <c r="D167">
        <v>85.452631578947361</v>
      </c>
      <c r="E167">
        <v>-2.455918148862942</v>
      </c>
      <c r="F167">
        <v>85.452631578947361</v>
      </c>
      <c r="G167">
        <v>1.6303144006708497</v>
      </c>
      <c r="R167">
        <v>85.452631578947361</v>
      </c>
      <c r="S167">
        <v>-2.955035924911499</v>
      </c>
    </row>
    <row r="168" spans="1:19" x14ac:dyDescent="0.3">
      <c r="A168">
        <v>165</v>
      </c>
      <c r="B168">
        <v>85.973684210526315</v>
      </c>
      <c r="C168">
        <v>-2.8711278438568115</v>
      </c>
      <c r="D168">
        <v>85.973684210526315</v>
      </c>
      <c r="E168">
        <v>-2.3278808597905627</v>
      </c>
      <c r="F168">
        <v>85.973684210526315</v>
      </c>
      <c r="G168">
        <v>2.633519749575262</v>
      </c>
      <c r="R168">
        <v>85.973684210526315</v>
      </c>
      <c r="S168">
        <v>-2.8711278438568115</v>
      </c>
    </row>
    <row r="169" spans="1:19" x14ac:dyDescent="0.3">
      <c r="A169">
        <v>166</v>
      </c>
      <c r="B169">
        <v>86.494736842105269</v>
      </c>
      <c r="C169">
        <v>-2.7849521636962891</v>
      </c>
      <c r="D169">
        <v>86.494736842105269</v>
      </c>
      <c r="E169">
        <v>-2.1961901325286335</v>
      </c>
      <c r="F169">
        <v>86.494736842105269</v>
      </c>
      <c r="G169">
        <v>3.8585528689471884</v>
      </c>
      <c r="R169">
        <v>86.494736842105269</v>
      </c>
      <c r="S169">
        <v>-2.7849521636962891</v>
      </c>
    </row>
    <row r="170" spans="1:19" x14ac:dyDescent="0.3">
      <c r="A170">
        <v>167</v>
      </c>
      <c r="B170">
        <v>87.015789473684208</v>
      </c>
      <c r="C170">
        <v>-2.6964957714080811</v>
      </c>
      <c r="D170">
        <v>87.015789473684208</v>
      </c>
      <c r="E170">
        <v>-2.0608491980723307</v>
      </c>
      <c r="F170">
        <v>87.015789473684208</v>
      </c>
      <c r="G170">
        <v>5.4468386891838154</v>
      </c>
      <c r="R170">
        <v>87.015789473684208</v>
      </c>
      <c r="S170">
        <v>-2.6964957714080811</v>
      </c>
    </row>
    <row r="171" spans="1:19" x14ac:dyDescent="0.3">
      <c r="A171">
        <v>168</v>
      </c>
      <c r="B171">
        <v>87.536842105263162</v>
      </c>
      <c r="C171">
        <v>-2.6056699752807617</v>
      </c>
      <c r="D171">
        <v>87.536842105263162</v>
      </c>
      <c r="E171">
        <v>-1.9067757951879369</v>
      </c>
      <c r="F171">
        <v>87.536842105263162</v>
      </c>
      <c r="G171">
        <v>7.6182214450897039</v>
      </c>
      <c r="R171">
        <v>87.536842105263162</v>
      </c>
      <c r="S171">
        <v>-2.6056699752807617</v>
      </c>
    </row>
    <row r="172" spans="1:19" x14ac:dyDescent="0.3">
      <c r="A172">
        <v>169</v>
      </c>
      <c r="B172">
        <v>88.057894736842101</v>
      </c>
      <c r="C172">
        <v>-2.5125472545623779</v>
      </c>
      <c r="D172">
        <v>88.057894736842101</v>
      </c>
      <c r="E172">
        <v>-1.7317500771613443</v>
      </c>
      <c r="R172">
        <v>88.057894736842101</v>
      </c>
      <c r="S172">
        <v>-2.5125472545623779</v>
      </c>
    </row>
    <row r="173" spans="1:19" x14ac:dyDescent="0.3">
      <c r="A173">
        <v>170</v>
      </c>
      <c r="B173">
        <v>88.578947368421055</v>
      </c>
      <c r="C173">
        <v>-2.4169943332672119</v>
      </c>
      <c r="D173">
        <v>88.578947368421055</v>
      </c>
      <c r="E173">
        <v>-1.5497970159507894</v>
      </c>
      <c r="R173">
        <v>88.578947368421055</v>
      </c>
      <c r="S173">
        <v>-2.4169943332672119</v>
      </c>
    </row>
    <row r="174" spans="1:19" x14ac:dyDescent="0.3">
      <c r="A174">
        <v>171</v>
      </c>
      <c r="B174">
        <v>89.1</v>
      </c>
      <c r="C174">
        <v>-2.3191068172454834</v>
      </c>
      <c r="D174">
        <v>89.1</v>
      </c>
      <c r="E174">
        <v>-1.3426258075913884</v>
      </c>
      <c r="R174">
        <v>89.1</v>
      </c>
      <c r="S174">
        <v>-2.3191068172454834</v>
      </c>
    </row>
    <row r="175" spans="1:19" x14ac:dyDescent="0.3">
      <c r="A175">
        <v>172</v>
      </c>
      <c r="B175">
        <v>89.621052631578948</v>
      </c>
      <c r="C175">
        <v>-2.2188405990600586</v>
      </c>
      <c r="D175">
        <v>89.621052631578948</v>
      </c>
      <c r="E175">
        <v>-1.0862217525962565</v>
      </c>
      <c r="R175">
        <v>89.621052631578948</v>
      </c>
      <c r="S175">
        <v>-2.2188405990600586</v>
      </c>
    </row>
    <row r="176" spans="1:19" x14ac:dyDescent="0.3">
      <c r="A176">
        <v>173</v>
      </c>
      <c r="B176">
        <v>90.142105263157902</v>
      </c>
      <c r="C176">
        <v>-2.1161952018737793</v>
      </c>
      <c r="D176">
        <v>90.142105263157902</v>
      </c>
      <c r="E176">
        <v>-0.81312608580819901</v>
      </c>
      <c r="R176">
        <v>90.142105263157902</v>
      </c>
      <c r="S176">
        <v>-2.1161952018737793</v>
      </c>
    </row>
    <row r="177" spans="1:19" x14ac:dyDescent="0.3">
      <c r="A177">
        <v>174</v>
      </c>
      <c r="B177">
        <v>90.663157894736841</v>
      </c>
      <c r="C177">
        <v>-2.0110507011413574</v>
      </c>
      <c r="D177">
        <v>90.663157894736841</v>
      </c>
      <c r="E177">
        <v>-0.47384306043725255</v>
      </c>
      <c r="R177">
        <v>90.663157894736841</v>
      </c>
      <c r="S177">
        <v>-2.0110507011413574</v>
      </c>
    </row>
    <row r="178" spans="1:19" x14ac:dyDescent="0.3">
      <c r="A178">
        <v>175</v>
      </c>
      <c r="B178">
        <v>91.184210526315795</v>
      </c>
      <c r="C178">
        <v>-1.9034761190414429</v>
      </c>
      <c r="D178">
        <v>91.184210526315795</v>
      </c>
      <c r="E178">
        <v>-2.2413650927873841E-2</v>
      </c>
      <c r="R178">
        <v>91.184210526315795</v>
      </c>
      <c r="S178">
        <v>-1.9034761190414429</v>
      </c>
    </row>
    <row r="179" spans="1:19" x14ac:dyDescent="0.3">
      <c r="A179">
        <v>176</v>
      </c>
      <c r="B179">
        <v>91.705263157894734</v>
      </c>
      <c r="C179">
        <v>-1.7934740781784058</v>
      </c>
      <c r="D179">
        <v>91.705263157894734</v>
      </c>
      <c r="E179">
        <v>0.54766298780500566</v>
      </c>
      <c r="R179">
        <v>91.705263157894734</v>
      </c>
      <c r="S179">
        <v>-1.7934740781784058</v>
      </c>
    </row>
    <row r="180" spans="1:19" x14ac:dyDescent="0.3">
      <c r="A180">
        <v>177</v>
      </c>
      <c r="B180">
        <v>92.226315789473688</v>
      </c>
      <c r="C180">
        <v>-1.6810562610626221</v>
      </c>
      <c r="D180">
        <v>92.226315789473688</v>
      </c>
      <c r="E180">
        <v>1.35477714200122</v>
      </c>
      <c r="R180">
        <v>92.226315789473688</v>
      </c>
      <c r="S180">
        <v>-1.6810562610626221</v>
      </c>
    </row>
    <row r="181" spans="1:19" x14ac:dyDescent="0.3">
      <c r="A181">
        <v>178</v>
      </c>
      <c r="B181">
        <v>92.747368421052627</v>
      </c>
      <c r="C181">
        <v>-1.5661171674728394</v>
      </c>
      <c r="D181">
        <v>92.747368421052627</v>
      </c>
      <c r="E181">
        <v>2.5576763914472993</v>
      </c>
      <c r="R181">
        <v>92.747368421052627</v>
      </c>
      <c r="S181">
        <v>-1.5661171674728394</v>
      </c>
    </row>
    <row r="182" spans="1:19" x14ac:dyDescent="0.3">
      <c r="A182">
        <v>179</v>
      </c>
      <c r="B182">
        <v>93.268421052631581</v>
      </c>
      <c r="C182">
        <v>-1.4487451314926147</v>
      </c>
      <c r="D182">
        <v>93.268421052631581</v>
      </c>
      <c r="E182">
        <v>4.5016692945078152</v>
      </c>
      <c r="R182">
        <v>93.268421052631581</v>
      </c>
      <c r="S182">
        <v>-1.4487451314926147</v>
      </c>
    </row>
    <row r="183" spans="1:19" x14ac:dyDescent="0.3">
      <c r="A183">
        <v>180</v>
      </c>
      <c r="B183">
        <v>93.78947368421052</v>
      </c>
      <c r="C183">
        <v>-1.3289703130722046</v>
      </c>
      <c r="D183">
        <v>93.78947368421052</v>
      </c>
      <c r="E183">
        <v>7.8556078863348331</v>
      </c>
      <c r="R183">
        <v>93.78947368421052</v>
      </c>
      <c r="S183">
        <v>-1.3289703130722046</v>
      </c>
    </row>
    <row r="184" spans="1:19" x14ac:dyDescent="0.3">
      <c r="A184">
        <v>181</v>
      </c>
      <c r="B184">
        <v>94.310526315789474</v>
      </c>
      <c r="C184">
        <v>-1.2067232131958008</v>
      </c>
      <c r="R184">
        <v>94.310526315789474</v>
      </c>
      <c r="S184">
        <v>-1.2067232131958008</v>
      </c>
    </row>
    <row r="185" spans="1:19" x14ac:dyDescent="0.3">
      <c r="A185">
        <v>182</v>
      </c>
      <c r="B185">
        <v>94.831578947368428</v>
      </c>
      <c r="C185">
        <v>-1.0820558071136475</v>
      </c>
      <c r="R185">
        <v>94.831578947368428</v>
      </c>
      <c r="S185">
        <v>-1.0820558071136475</v>
      </c>
    </row>
    <row r="186" spans="1:19" x14ac:dyDescent="0.3">
      <c r="A186">
        <v>183</v>
      </c>
      <c r="B186">
        <v>95.352631578947367</v>
      </c>
      <c r="C186">
        <v>-0.95501506328582764</v>
      </c>
      <c r="R186">
        <v>95.352631578947367</v>
      </c>
      <c r="S186">
        <v>-0.95501506328582764</v>
      </c>
    </row>
    <row r="187" spans="1:19" x14ac:dyDescent="0.3">
      <c r="A187">
        <v>184</v>
      </c>
      <c r="B187">
        <v>95.873684210526321</v>
      </c>
      <c r="C187">
        <v>-0.82556241750717163</v>
      </c>
      <c r="R187">
        <v>95.873684210526321</v>
      </c>
      <c r="S187">
        <v>-0.82556241750717163</v>
      </c>
    </row>
    <row r="188" spans="1:19" x14ac:dyDescent="0.3">
      <c r="A188">
        <v>185</v>
      </c>
      <c r="B188">
        <v>96.39473684210526</v>
      </c>
      <c r="C188">
        <v>-0.6936219334602356</v>
      </c>
      <c r="R188">
        <v>96.39473684210526</v>
      </c>
      <c r="S188">
        <v>-0.6936219334602356</v>
      </c>
    </row>
    <row r="189" spans="1:19" x14ac:dyDescent="0.3">
      <c r="A189">
        <v>186</v>
      </c>
      <c r="B189">
        <v>96.915789473684214</v>
      </c>
      <c r="C189">
        <v>-0.55952531099319458</v>
      </c>
      <c r="R189">
        <v>96.915789473684214</v>
      </c>
      <c r="S189">
        <v>-0.55952531099319458</v>
      </c>
    </row>
    <row r="190" spans="1:19" x14ac:dyDescent="0.3">
      <c r="A190">
        <v>187</v>
      </c>
      <c r="B190">
        <v>97.436842105263153</v>
      </c>
      <c r="C190">
        <v>-0.42305997014045715</v>
      </c>
      <c r="R190">
        <v>97.436842105263153</v>
      </c>
      <c r="S190">
        <v>-0.42305997014045715</v>
      </c>
    </row>
    <row r="191" spans="1:19" x14ac:dyDescent="0.3">
      <c r="A191">
        <v>188</v>
      </c>
      <c r="B191">
        <v>97.957894736842107</v>
      </c>
      <c r="C191">
        <v>-0.28424930572509766</v>
      </c>
      <c r="R191">
        <v>97.957894736842107</v>
      </c>
      <c r="S191">
        <v>-0.28424930572509766</v>
      </c>
    </row>
    <row r="192" spans="1:19" x14ac:dyDescent="0.3">
      <c r="A192">
        <v>189</v>
      </c>
      <c r="B192">
        <v>98.478947368421046</v>
      </c>
      <c r="C192">
        <v>-0.14320103824138641</v>
      </c>
      <c r="R192">
        <v>98.478947368421046</v>
      </c>
      <c r="S192">
        <v>-0.14320103824138641</v>
      </c>
    </row>
    <row r="193" spans="1:19" x14ac:dyDescent="0.3">
      <c r="A193">
        <v>190</v>
      </c>
      <c r="B193">
        <v>99</v>
      </c>
      <c r="C193">
        <v>4.4360192987369373E-5</v>
      </c>
      <c r="R193">
        <v>99</v>
      </c>
      <c r="S193">
        <v>4.4360192987369373E-5</v>
      </c>
    </row>
  </sheetData>
  <phoneticPr fontId="2" type="noConversion"/>
  <pageMargins left="0.75" right="0.75" top="1" bottom="1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4:L5"/>
  <sheetViews>
    <sheetView topLeftCell="A18" workbookViewId="0">
      <selection activeCell="A34" sqref="A34"/>
    </sheetView>
  </sheetViews>
  <sheetFormatPr defaultRowHeight="12.45" x14ac:dyDescent="0.3"/>
  <cols>
    <col min="1" max="1" width="11.07421875" customWidth="1"/>
    <col min="2" max="5" width="11.3828125" style="1" customWidth="1"/>
    <col min="6" max="256" width="11.07421875" customWidth="1"/>
  </cols>
  <sheetData>
    <row r="4" spans="1:12" x14ac:dyDescent="0.3">
      <c r="A4" t="s">
        <v>179</v>
      </c>
      <c r="B4" s="1">
        <v>0</v>
      </c>
      <c r="C4" s="1">
        <v>20</v>
      </c>
      <c r="D4" s="1">
        <v>40</v>
      </c>
      <c r="E4" s="1">
        <v>60</v>
      </c>
      <c r="F4">
        <v>20</v>
      </c>
      <c r="G4">
        <v>25</v>
      </c>
      <c r="H4">
        <v>30</v>
      </c>
      <c r="I4">
        <v>35</v>
      </c>
      <c r="J4">
        <v>40</v>
      </c>
      <c r="K4">
        <v>45</v>
      </c>
      <c r="L4">
        <v>50</v>
      </c>
    </row>
    <row r="5" spans="1:12" x14ac:dyDescent="0.3">
      <c r="A5" t="s">
        <v>180</v>
      </c>
    </row>
  </sheetData>
  <phoneticPr fontId="2" type="noConversion"/>
  <pageMargins left="0.75" right="0.75" top="1" bottom="1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F39"/>
  <sheetViews>
    <sheetView topLeftCell="A12" workbookViewId="0">
      <selection activeCell="D22" sqref="D22"/>
    </sheetView>
  </sheetViews>
  <sheetFormatPr defaultRowHeight="12.45" x14ac:dyDescent="0.3"/>
  <cols>
    <col min="1" max="1" width="11.07421875" customWidth="1"/>
    <col min="2" max="2" width="4.3046875" customWidth="1"/>
    <col min="3" max="3" width="9.15234375" bestFit="1" customWidth="1"/>
    <col min="4" max="4" width="9.53515625" bestFit="1" customWidth="1"/>
    <col min="5" max="13" width="9" bestFit="1" customWidth="1"/>
    <col min="14" max="16" width="11.07421875" customWidth="1"/>
    <col min="17" max="28" width="13" bestFit="1" customWidth="1"/>
    <col min="29" max="29" width="11.07421875" customWidth="1"/>
    <col min="30" max="30" width="13" bestFit="1" customWidth="1"/>
    <col min="31" max="31" width="11.07421875" customWidth="1"/>
    <col min="32" max="32" width="13" bestFit="1" customWidth="1"/>
    <col min="33" max="256" width="11.07421875" customWidth="1"/>
  </cols>
  <sheetData>
    <row r="1" spans="1:27" x14ac:dyDescent="0.3">
      <c r="C1" t="str">
        <f>'P(H1)'!C8</f>
        <v>X^0</v>
      </c>
      <c r="D1" t="str">
        <f>'P(H1)'!D8</f>
        <v>X^1</v>
      </c>
      <c r="E1" t="str">
        <f>'P(H1)'!E8</f>
        <v>X^2</v>
      </c>
      <c r="F1" t="str">
        <f>'P(H1)'!F8</f>
        <v>X^3</v>
      </c>
      <c r="G1" t="str">
        <f>'P(H1)'!G8</f>
        <v>X^4</v>
      </c>
      <c r="H1" t="str">
        <f>'P(H1)'!H8</f>
        <v>X^5</v>
      </c>
      <c r="I1" t="str">
        <f>'P(H1)'!I8</f>
        <v>X^6</v>
      </c>
      <c r="J1" t="str">
        <f>'P(H1)'!J8</f>
        <v>X^7</v>
      </c>
      <c r="K1" t="str">
        <f>'P(H1)'!K8</f>
        <v>X^8</v>
      </c>
      <c r="L1" t="str">
        <f>'P(H1)'!L8</f>
        <v>X^9</v>
      </c>
      <c r="M1" t="str">
        <f>'P(H1)'!M8</f>
        <v>X^10</v>
      </c>
      <c r="O1" t="s">
        <v>96</v>
      </c>
      <c r="Q1" t="s">
        <v>97</v>
      </c>
      <c r="R1" t="s">
        <v>98</v>
      </c>
      <c r="S1" t="s">
        <v>99</v>
      </c>
      <c r="T1" t="s">
        <v>100</v>
      </c>
      <c r="U1" t="s">
        <v>101</v>
      </c>
      <c r="V1" t="s">
        <v>102</v>
      </c>
      <c r="W1" t="s">
        <v>103</v>
      </c>
      <c r="X1" t="s">
        <v>104</v>
      </c>
      <c r="Y1" t="s">
        <v>105</v>
      </c>
      <c r="Z1" t="s">
        <v>106</v>
      </c>
      <c r="AA1" t="s">
        <v>107</v>
      </c>
    </row>
    <row r="2" spans="1:27" x14ac:dyDescent="0.3">
      <c r="Q2">
        <v>1</v>
      </c>
      <c r="R2">
        <f t="array" ref="R2:R12">TRANSPOSE(C25:M25)</f>
        <v>0</v>
      </c>
      <c r="S2">
        <f>$R2^2</f>
        <v>0</v>
      </c>
      <c r="T2">
        <f>$R2^3</f>
        <v>0</v>
      </c>
      <c r="U2">
        <f>$R2^4</f>
        <v>0</v>
      </c>
      <c r="V2">
        <f>$R2^5</f>
        <v>0</v>
      </c>
      <c r="W2">
        <f>$R2^6</f>
        <v>0</v>
      </c>
      <c r="X2">
        <f>$R2^7</f>
        <v>0</v>
      </c>
      <c r="Y2">
        <f>$R2^8</f>
        <v>0</v>
      </c>
      <c r="Z2">
        <f>$R2^9</f>
        <v>0</v>
      </c>
      <c r="AA2">
        <f>$R2^10</f>
        <v>0</v>
      </c>
    </row>
    <row r="3" spans="1:27" x14ac:dyDescent="0.3">
      <c r="A3" t="s">
        <v>84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Q3">
        <v>1</v>
      </c>
      <c r="R3">
        <v>9.9000000022351742</v>
      </c>
      <c r="S3">
        <f t="shared" ref="S3:S12" si="0">$R3^2</f>
        <v>98.010000044256444</v>
      </c>
      <c r="T3">
        <f t="shared" ref="T3:T12" si="1">$R3^3</f>
        <v>970.29900065720824</v>
      </c>
      <c r="U3">
        <f t="shared" ref="U3:U12" si="2">$R3^4</f>
        <v>9605.9601086751481</v>
      </c>
      <c r="V3">
        <f t="shared" ref="V3:V12" si="3">$R3^5</f>
        <v>95099.005097354966</v>
      </c>
      <c r="W3">
        <f t="shared" ref="W3:W12" si="4">$R3^6</f>
        <v>941480.15067637688</v>
      </c>
      <c r="X3">
        <f t="shared" ref="X3:X12" si="5">$R3^7</f>
        <v>9320653.4938005041</v>
      </c>
      <c r="Y3">
        <f t="shared" ref="Y3:Y12" si="6">$R3^8</f>
        <v>92274469.609458268</v>
      </c>
      <c r="Z3">
        <f t="shared" ref="Z3:Z12" si="7">$R3^9</f>
        <v>913517249.33988631</v>
      </c>
      <c r="AA3">
        <f t="shared" ref="AA3:AA12" si="8">$R3^10</f>
        <v>9043820770.5067444</v>
      </c>
    </row>
    <row r="4" spans="1:27" x14ac:dyDescent="0.3">
      <c r="A4" t="s">
        <v>83</v>
      </c>
      <c r="C4" s="5">
        <f>'P(H1)'!C9</f>
        <v>0.5</v>
      </c>
      <c r="D4" s="5">
        <f>'P(H1)'!D9</f>
        <v>-0.19486403369127209</v>
      </c>
      <c r="E4" s="5">
        <f>'P(H1)'!E9</f>
        <v>2.0336802037560636E-3</v>
      </c>
      <c r="F4" s="5">
        <f>'P(H1)'!F9</f>
        <v>-1.7319564768962514E-5</v>
      </c>
      <c r="G4" s="5">
        <f>'P(H1)'!G9</f>
        <v>7.1298307969440769E-7</v>
      </c>
      <c r="H4" s="5">
        <f>'P(H1)'!H9</f>
        <v>-2.6719356252556859E-8</v>
      </c>
      <c r="I4" s="5">
        <f>'P(H1)'!I9</f>
        <v>7.3800894783322199E-10</v>
      </c>
      <c r="J4" s="5">
        <f>'P(H1)'!J9</f>
        <v>-1.2590926653663643E-11</v>
      </c>
      <c r="K4" s="5">
        <f>'P(H1)'!K9</f>
        <v>1.2533592411814673E-13</v>
      </c>
      <c r="L4" s="5">
        <f>'P(H1)'!L9</f>
        <v>-6.702893240632555E-16</v>
      </c>
      <c r="M4" s="5">
        <f>'P(H1)'!M9</f>
        <v>1.5015808698450071E-18</v>
      </c>
      <c r="Q4">
        <v>1</v>
      </c>
      <c r="R4">
        <v>19.800000004470348</v>
      </c>
      <c r="S4">
        <f t="shared" si="0"/>
        <v>392.04000017702577</v>
      </c>
      <c r="T4">
        <f t="shared" si="1"/>
        <v>7762.3920052576659</v>
      </c>
      <c r="U4">
        <f t="shared" si="2"/>
        <v>153695.36173880237</v>
      </c>
      <c r="V4">
        <f t="shared" si="3"/>
        <v>3043168.1631153589</v>
      </c>
      <c r="W4">
        <f t="shared" si="4"/>
        <v>60254729.643288121</v>
      </c>
      <c r="X4">
        <f t="shared" si="5"/>
        <v>1193043647.2064645</v>
      </c>
      <c r="Y4">
        <f t="shared" si="6"/>
        <v>23622264220.021317</v>
      </c>
      <c r="Z4">
        <f t="shared" si="7"/>
        <v>467720831662.02179</v>
      </c>
      <c r="AA4">
        <f t="shared" si="8"/>
        <v>9260872468998.9063</v>
      </c>
    </row>
    <row r="5" spans="1:27" x14ac:dyDescent="0.3">
      <c r="C5" s="5"/>
      <c r="D5" s="5"/>
      <c r="E5" s="5"/>
      <c r="F5" s="5"/>
      <c r="G5" s="5"/>
      <c r="H5" s="5"/>
      <c r="I5" s="5"/>
      <c r="J5" s="5"/>
      <c r="K5" s="5"/>
      <c r="L5" s="5"/>
      <c r="M5" s="5"/>
      <c r="Q5">
        <v>1</v>
      </c>
      <c r="R5">
        <v>29.700000006705523</v>
      </c>
      <c r="S5">
        <f t="shared" si="0"/>
        <v>882.09000039830801</v>
      </c>
      <c r="T5">
        <f t="shared" si="1"/>
        <v>26198.073017744624</v>
      </c>
      <c r="U5">
        <f t="shared" si="2"/>
        <v>778082.76880268706</v>
      </c>
      <c r="V5">
        <f t="shared" si="3"/>
        <v>23109058.238657258</v>
      </c>
      <c r="W5">
        <f t="shared" si="4"/>
        <v>686339029.84307885</v>
      </c>
      <c r="X5">
        <f t="shared" si="5"/>
        <v>20384269190.941704</v>
      </c>
      <c r="Y5">
        <f t="shared" si="6"/>
        <v>605412795107.65576</v>
      </c>
      <c r="Z5">
        <f t="shared" si="7"/>
        <v>17980760018756.984</v>
      </c>
      <c r="AA5">
        <f t="shared" si="8"/>
        <v>534028572677652.81</v>
      </c>
    </row>
    <row r="6" spans="1:27" x14ac:dyDescent="0.3">
      <c r="A6" t="s">
        <v>85</v>
      </c>
      <c r="C6" s="5">
        <f t="array" ref="C6:M6">TRANSPOSE(R29:R39)</f>
        <v>4.8000000715255737</v>
      </c>
      <c r="D6" s="5">
        <v>-3.9697971369796754E-2</v>
      </c>
      <c r="E6" s="5">
        <v>5.3688116207531332E-3</v>
      </c>
      <c r="F6" s="5">
        <v>-3.8887391377769812E-4</v>
      </c>
      <c r="G6" s="5">
        <v>1.6108549257509574E-5</v>
      </c>
      <c r="H6" s="5">
        <v>-4.3755029805985746E-7</v>
      </c>
      <c r="I6" s="5">
        <v>7.8889104026724435E-9</v>
      </c>
      <c r="J6" s="5">
        <v>-9.3510090310185268E-11</v>
      </c>
      <c r="K6" s="5">
        <v>6.9840218591372667E-13</v>
      </c>
      <c r="L6" s="5">
        <v>-2.9697416200962869E-15</v>
      </c>
      <c r="M6" s="5">
        <v>5.4682387495918191E-18</v>
      </c>
      <c r="Q6">
        <v>1</v>
      </c>
      <c r="R6">
        <v>39.600000008940697</v>
      </c>
      <c r="S6">
        <f t="shared" si="0"/>
        <v>1568.1600007081031</v>
      </c>
      <c r="T6">
        <f t="shared" si="1"/>
        <v>62099.136042061327</v>
      </c>
      <c r="U6">
        <f t="shared" si="2"/>
        <v>2459125.7878208379</v>
      </c>
      <c r="V6">
        <f t="shared" si="3"/>
        <v>97381381.219691485</v>
      </c>
      <c r="W6">
        <f t="shared" si="4"/>
        <v>3856302697.1704397</v>
      </c>
      <c r="X6">
        <f t="shared" si="5"/>
        <v>152709586842.42746</v>
      </c>
      <c r="Y6">
        <f t="shared" si="6"/>
        <v>6047299640325.457</v>
      </c>
      <c r="Z6">
        <f t="shared" si="7"/>
        <v>239473065810955.16</v>
      </c>
      <c r="AA6">
        <f t="shared" si="8"/>
        <v>9483133408254880</v>
      </c>
    </row>
    <row r="7" spans="1:27" x14ac:dyDescent="0.3">
      <c r="A7" t="s">
        <v>86</v>
      </c>
      <c r="C7" s="5">
        <f t="array" ref="C7:M7">TRANSPOSE(T29:T39)</f>
        <v>0.5</v>
      </c>
      <c r="D7" s="5">
        <v>-0.19486403400775085</v>
      </c>
      <c r="E7" s="5">
        <v>2.033680210777314E-3</v>
      </c>
      <c r="F7" s="5">
        <v>-1.7319564962949017E-5</v>
      </c>
      <c r="G7" s="5">
        <v>7.1298308279664511E-7</v>
      </c>
      <c r="H7" s="5">
        <v>-2.6719356309049629E-8</v>
      </c>
      <c r="I7" s="5">
        <v>7.3800894896158351E-10</v>
      </c>
      <c r="J7" s="5">
        <v>-1.2590926668988343E-11</v>
      </c>
      <c r="K7" s="5">
        <v>1.2533592424655112E-13</v>
      </c>
      <c r="L7" s="5">
        <v>-6.7028932467038997E-16</v>
      </c>
      <c r="M7" s="5">
        <v>1.5015808710893047E-18</v>
      </c>
      <c r="Q7">
        <v>1</v>
      </c>
      <c r="R7">
        <v>49.500000011175871</v>
      </c>
      <c r="S7">
        <f t="shared" si="0"/>
        <v>2450.2500011064112</v>
      </c>
      <c r="T7">
        <f t="shared" si="1"/>
        <v>121287.37508215103</v>
      </c>
      <c r="U7">
        <f t="shared" si="2"/>
        <v>6003725.0679219682</v>
      </c>
      <c r="V7">
        <f t="shared" si="3"/>
        <v>297184390.92923427</v>
      </c>
      <c r="W7">
        <f t="shared" si="4"/>
        <v>14710627354.318392</v>
      </c>
      <c r="X7">
        <f t="shared" si="5"/>
        <v>728176054203.16443</v>
      </c>
      <c r="Y7">
        <f t="shared" si="6"/>
        <v>36044714691194.641</v>
      </c>
      <c r="Z7">
        <f t="shared" si="7"/>
        <v>1784213377616965.8</v>
      </c>
      <c r="AA7">
        <f t="shared" si="8"/>
        <v>8.8318562211979952E+16</v>
      </c>
    </row>
    <row r="8" spans="1:27" x14ac:dyDescent="0.3">
      <c r="C8" s="5"/>
      <c r="D8" s="5"/>
      <c r="E8" s="5"/>
      <c r="F8" s="5"/>
      <c r="G8" s="5"/>
      <c r="H8" s="5"/>
      <c r="I8" s="5"/>
      <c r="J8" s="5"/>
      <c r="K8" s="5"/>
      <c r="L8" s="5"/>
      <c r="M8" s="5"/>
      <c r="Q8">
        <v>1</v>
      </c>
      <c r="R8">
        <v>59.400000013411045</v>
      </c>
      <c r="S8">
        <f t="shared" si="0"/>
        <v>3528.360001593232</v>
      </c>
      <c r="T8">
        <f t="shared" si="1"/>
        <v>209584.58414195699</v>
      </c>
      <c r="U8">
        <f t="shared" si="2"/>
        <v>12449324.300842993</v>
      </c>
      <c r="V8">
        <f t="shared" si="3"/>
        <v>739489863.63703227</v>
      </c>
      <c r="W8">
        <f t="shared" si="4"/>
        <v>43925697909.957047</v>
      </c>
      <c r="X8">
        <f t="shared" si="5"/>
        <v>2609186456440.5381</v>
      </c>
      <c r="Y8">
        <f t="shared" si="6"/>
        <v>154985675547559.88</v>
      </c>
      <c r="Z8">
        <f t="shared" si="7"/>
        <v>9206149129603576</v>
      </c>
      <c r="AA8">
        <f t="shared" si="8"/>
        <v>5.4684525842191648E+17</v>
      </c>
    </row>
    <row r="9" spans="1:27" x14ac:dyDescent="0.3">
      <c r="A9" t="s">
        <v>87</v>
      </c>
      <c r="C9" s="5">
        <f t="array" ref="C9:M9">TRANSPOSE(V29:V39)</f>
        <v>8.3999998569488525</v>
      </c>
      <c r="D9" s="5">
        <v>9.5330036980208963E-2</v>
      </c>
      <c r="E9" s="5">
        <v>-3.2526972311018722E-3</v>
      </c>
      <c r="F9" s="5">
        <v>7.7086807480331664E-5</v>
      </c>
      <c r="G9" s="5">
        <v>-1.5828338887358891E-6</v>
      </c>
      <c r="H9" s="5">
        <v>5.1949041547640206E-9</v>
      </c>
      <c r="I9" s="5">
        <v>4.5816952098432654E-10</v>
      </c>
      <c r="J9" s="5">
        <v>-1.0753509557468581E-11</v>
      </c>
      <c r="K9" s="5">
        <v>1.0937638077202351E-13</v>
      </c>
      <c r="L9" s="5">
        <v>-5.3222254457500487E-16</v>
      </c>
      <c r="M9" s="5">
        <v>9.9480765576598652E-19</v>
      </c>
      <c r="Q9">
        <v>1</v>
      </c>
      <c r="R9">
        <v>69.300000015646219</v>
      </c>
      <c r="S9">
        <f t="shared" si="0"/>
        <v>4802.4900021685662</v>
      </c>
      <c r="T9">
        <f t="shared" si="1"/>
        <v>332812.55722542247</v>
      </c>
      <c r="U9">
        <f t="shared" si="2"/>
        <v>23063910.220929034</v>
      </c>
      <c r="V9">
        <f t="shared" si="3"/>
        <v>1598328978.6712451</v>
      </c>
      <c r="W9">
        <f t="shared" si="4"/>
        <v>110764198246.92509</v>
      </c>
      <c r="X9">
        <f t="shared" si="5"/>
        <v>7675958940244.9502</v>
      </c>
      <c r="Y9">
        <f t="shared" si="6"/>
        <v>531943954679074.75</v>
      </c>
      <c r="Z9">
        <f t="shared" si="7"/>
        <v>3.6863716067582792E+16</v>
      </c>
      <c r="AA9">
        <f t="shared" si="8"/>
        <v>2.5546555240602655E+18</v>
      </c>
    </row>
    <row r="10" spans="1:27" x14ac:dyDescent="0.3">
      <c r="A10" t="s">
        <v>88</v>
      </c>
      <c r="C10" s="5">
        <f t="array" ref="C10:M10">TRANSPOSE(X29:X39)</f>
        <v>1.2500000111758709</v>
      </c>
      <c r="D10" s="5">
        <v>-0.15160190156980466</v>
      </c>
      <c r="E10" s="5">
        <v>2.3002093781629472E-4</v>
      </c>
      <c r="F10" s="5">
        <v>8.5493891796638885E-5</v>
      </c>
      <c r="G10" s="5">
        <v>-3.4302004173951425E-6</v>
      </c>
      <c r="H10" s="5">
        <v>8.3369062482116777E-8</v>
      </c>
      <c r="I10" s="5">
        <v>-1.227877405442018E-9</v>
      </c>
      <c r="J10" s="5">
        <v>1.0686842876735934E-11</v>
      </c>
      <c r="K10" s="5">
        <v>-4.9586152414629664E-14</v>
      </c>
      <c r="L10" s="5">
        <v>8.3796156899359534E-17</v>
      </c>
      <c r="M10" s="5">
        <v>8.1433243820658155E-20</v>
      </c>
      <c r="Q10">
        <v>1</v>
      </c>
      <c r="R10">
        <v>79.200000017881393</v>
      </c>
      <c r="S10">
        <f t="shared" si="0"/>
        <v>6272.6400028324124</v>
      </c>
      <c r="T10">
        <f t="shared" si="1"/>
        <v>496793.08833649062</v>
      </c>
      <c r="U10">
        <f t="shared" si="2"/>
        <v>39346012.605133407</v>
      </c>
      <c r="V10">
        <f t="shared" si="3"/>
        <v>3116204199.0301275</v>
      </c>
      <c r="W10">
        <f t="shared" si="4"/>
        <v>246803372618.90814</v>
      </c>
      <c r="X10">
        <f t="shared" si="5"/>
        <v>19546827115830.715</v>
      </c>
      <c r="Y10">
        <f t="shared" si="6"/>
        <v>1548108707923317</v>
      </c>
      <c r="Z10">
        <f t="shared" si="7"/>
        <v>1.2261020969520904E+17</v>
      </c>
      <c r="AA10">
        <f t="shared" si="8"/>
        <v>9.7107286100529971E+18</v>
      </c>
    </row>
    <row r="11" spans="1:27" x14ac:dyDescent="0.3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Q11">
        <v>1</v>
      </c>
      <c r="R11">
        <v>89.100000020116568</v>
      </c>
      <c r="S11">
        <f t="shared" si="0"/>
        <v>7938.8100035847719</v>
      </c>
      <c r="T11">
        <f t="shared" si="1"/>
        <v>707347.97147910483</v>
      </c>
      <c r="U11">
        <f t="shared" si="2"/>
        <v>63024704.273017645</v>
      </c>
      <c r="V11">
        <f t="shared" si="3"/>
        <v>5615501151.9937124</v>
      </c>
      <c r="W11">
        <f t="shared" si="4"/>
        <v>500341152755.60443</v>
      </c>
      <c r="X11">
        <f t="shared" si="5"/>
        <v>44580396720589.5</v>
      </c>
      <c r="Y11">
        <f t="shared" si="6"/>
        <v>3972113348701328.5</v>
      </c>
      <c r="Z11">
        <f t="shared" si="7"/>
        <v>3.5391529944919366E+17</v>
      </c>
      <c r="AA11">
        <f t="shared" si="8"/>
        <v>3.1533853188042715E+19</v>
      </c>
    </row>
    <row r="12" spans="1:27" x14ac:dyDescent="0.3">
      <c r="A12" t="s">
        <v>89</v>
      </c>
      <c r="C12" s="5">
        <f t="array" ref="C12:M12">TRANSPOSE(Z29:Z39)</f>
        <v>8.3999998569488525</v>
      </c>
      <c r="D12" s="5">
        <v>0.20519767795755228</v>
      </c>
      <c r="E12" s="5">
        <v>-1.1684774222699435E-2</v>
      </c>
      <c r="F12" s="5">
        <v>5.8216415963952581E-4</v>
      </c>
      <c r="G12" s="5">
        <v>-2.1431360554844863E-5</v>
      </c>
      <c r="H12" s="5">
        <v>5.1913343269867341E-7</v>
      </c>
      <c r="I12" s="5">
        <v>-8.4401113886101388E-9</v>
      </c>
      <c r="J12" s="5">
        <v>9.1172571604271617E-11</v>
      </c>
      <c r="K12" s="5">
        <v>-6.3250845185117095E-13</v>
      </c>
      <c r="L12" s="5">
        <v>2.5776604341709735E-15</v>
      </c>
      <c r="M12" s="5">
        <v>-4.7215981066858252E-18</v>
      </c>
      <c r="Q12">
        <v>1</v>
      </c>
      <c r="R12">
        <v>99.000000022351742</v>
      </c>
      <c r="S12">
        <f t="shared" si="0"/>
        <v>9801.0000044256449</v>
      </c>
      <c r="T12">
        <f t="shared" si="1"/>
        <v>970299.00065720826</v>
      </c>
      <c r="U12">
        <f t="shared" si="2"/>
        <v>96059601.086751491</v>
      </c>
      <c r="V12">
        <f t="shared" si="3"/>
        <v>9509900509.7354965</v>
      </c>
      <c r="W12">
        <f t="shared" si="4"/>
        <v>941480150676.37708</v>
      </c>
      <c r="X12">
        <f t="shared" si="5"/>
        <v>93206534938005.047</v>
      </c>
      <c r="Y12">
        <f t="shared" si="6"/>
        <v>9227446960945828</v>
      </c>
      <c r="Z12">
        <f t="shared" si="7"/>
        <v>9.1351724933988646E+17</v>
      </c>
      <c r="AA12">
        <f t="shared" si="8"/>
        <v>9.0438207705067471E+19</v>
      </c>
    </row>
    <row r="13" spans="1:27" x14ac:dyDescent="0.3">
      <c r="A13" t="s">
        <v>90</v>
      </c>
      <c r="C13" s="5">
        <f t="array" ref="C13:M13">TRANSPOSE(AB29:AB39)</f>
        <v>1.2500000111758709</v>
      </c>
      <c r="D13" s="5">
        <v>-3.272326874535237E-2</v>
      </c>
      <c r="E13" s="5">
        <v>-7.7714345852347173E-3</v>
      </c>
      <c r="F13" s="5">
        <v>5.9090134765517614E-4</v>
      </c>
      <c r="G13" s="5">
        <v>-2.3789624550053329E-5</v>
      </c>
      <c r="H13" s="5">
        <v>6.2045143006083986E-7</v>
      </c>
      <c r="I13" s="5">
        <v>-1.068830385161745E-8</v>
      </c>
      <c r="J13" s="5">
        <v>1.2078021733383116E-10</v>
      </c>
      <c r="K13" s="5">
        <v>-8.615285000715586E-13</v>
      </c>
      <c r="L13" s="5">
        <v>3.5190785903018914E-15</v>
      </c>
      <c r="M13" s="5">
        <v>-6.268513878102738E-18</v>
      </c>
    </row>
    <row r="14" spans="1:27" x14ac:dyDescent="0.3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O14" t="s">
        <v>108</v>
      </c>
    </row>
    <row r="15" spans="1:27" x14ac:dyDescent="0.3">
      <c r="A15" t="s">
        <v>91</v>
      </c>
      <c r="C15" s="5">
        <f t="array" ref="C15:M15">TRANSPOSE(AD29:AD39)</f>
        <v>8.3999998569488525</v>
      </c>
      <c r="D15" s="5">
        <v>0.27844280104743879</v>
      </c>
      <c r="E15" s="5">
        <v>-1.730616111750545E-2</v>
      </c>
      <c r="F15" s="5">
        <v>9.188825282126019E-4</v>
      </c>
      <c r="G15" s="5">
        <v>-3.4663716923694296E-5</v>
      </c>
      <c r="H15" s="5">
        <v>8.6175925454247489E-7</v>
      </c>
      <c r="I15" s="5">
        <v>-1.4372301018930519E-8</v>
      </c>
      <c r="J15" s="5">
        <v>1.5912331938063954E-10</v>
      </c>
      <c r="K15" s="5">
        <v>-1.1270985368029657E-12</v>
      </c>
      <c r="L15" s="5">
        <v>4.650916577194522E-15</v>
      </c>
      <c r="M15" s="5">
        <v>-8.5325367960083171E-18</v>
      </c>
      <c r="Q15">
        <f t="array" ref="Q15:AA25">MINVERSE(Q2:AA12)</f>
        <v>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 x14ac:dyDescent="0.3">
      <c r="A16" t="s">
        <v>92</v>
      </c>
      <c r="C16" s="5">
        <f t="array" ref="C16:M16">TRANSPOSE(AF29:AF39)</f>
        <v>1.2500000111758709</v>
      </c>
      <c r="D16" s="5">
        <v>0.10993108214111412</v>
      </c>
      <c r="E16" s="5">
        <v>-1.7373180640581996E-2</v>
      </c>
      <c r="F16" s="5">
        <v>1.197390258535357E-3</v>
      </c>
      <c r="G16" s="5">
        <v>-4.822093205299492E-5</v>
      </c>
      <c r="H16" s="5">
        <v>1.2649502327393908E-6</v>
      </c>
      <c r="I16" s="5">
        <v>-2.2040814910351088E-8</v>
      </c>
      <c r="J16" s="5">
        <v>2.5289225880760331E-10</v>
      </c>
      <c r="K16" s="5">
        <v>-1.8358592591830063E-12</v>
      </c>
      <c r="L16" s="5">
        <v>7.6414172646647743E-15</v>
      </c>
      <c r="M16" s="5">
        <v>-1.3888449970206028E-17</v>
      </c>
      <c r="Q16">
        <v>-0.29585537915179921</v>
      </c>
      <c r="R16">
        <v>1.0101010101523438</v>
      </c>
      <c r="S16">
        <v>-2.2727272733984383</v>
      </c>
      <c r="T16">
        <v>4.0404040424715797</v>
      </c>
      <c r="U16">
        <v>-5.3030303067165745</v>
      </c>
      <c r="V16">
        <v>5.0909090953676159</v>
      </c>
      <c r="W16">
        <v>-3.5353535389638355</v>
      </c>
      <c r="X16">
        <v>1.7316017336044325</v>
      </c>
      <c r="Y16">
        <v>-0.56818181889975272</v>
      </c>
      <c r="Z16">
        <v>0.11223344572060269</v>
      </c>
      <c r="AA16">
        <v>-1.0101010115927261E-2</v>
      </c>
    </row>
    <row r="17" spans="1:32" x14ac:dyDescent="0.3"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Q17">
        <v>3.5859031221356918E-2</v>
      </c>
      <c r="R17">
        <v>-0.1968134122893298</v>
      </c>
      <c r="S17">
        <v>0.55761438344464953</v>
      </c>
      <c r="T17">
        <v>-1.059334729705542</v>
      </c>
      <c r="U17">
        <v>1.4350151352095475</v>
      </c>
      <c r="V17">
        <v>-1.4033261921020119</v>
      </c>
      <c r="W17">
        <v>0.9864356252453621</v>
      </c>
      <c r="X17">
        <v>-0.48731664936815522</v>
      </c>
      <c r="Y17">
        <v>0.16092563457105008</v>
      </c>
      <c r="Z17">
        <v>-3.1945234000347315E-2</v>
      </c>
      <c r="AA17">
        <v>2.8864077719599132E-3</v>
      </c>
    </row>
    <row r="18" spans="1:32" x14ac:dyDescent="0.3">
      <c r="A18" t="s">
        <v>93</v>
      </c>
      <c r="C18" s="5">
        <f>'P(F1)'!C9</f>
        <v>12</v>
      </c>
      <c r="D18" s="5">
        <f>'P(F1)'!D9</f>
        <v>7.4274785565761725E-2</v>
      </c>
      <c r="E18" s="5">
        <f>'P(F1)'!E9</f>
        <v>-6.2532148498017914E-4</v>
      </c>
      <c r="F18" s="5">
        <f>'P(F1)'!F9</f>
        <v>-1.2523473460444856E-4</v>
      </c>
      <c r="G18" s="5">
        <f>'P(F1)'!G9</f>
        <v>7.0000713412597844E-6</v>
      </c>
      <c r="H18" s="5">
        <f>'P(F1)'!H9</f>
        <v>-2.3125231667280933E-7</v>
      </c>
      <c r="I18" s="5">
        <f>'P(F1)'!I9</f>
        <v>4.759480510304863E-9</v>
      </c>
      <c r="J18" s="5">
        <f>'P(F1)'!J9</f>
        <v>-6.2041444701314232E-11</v>
      </c>
      <c r="K18" s="5">
        <f>'P(F1)'!K9</f>
        <v>4.9343408538493814E-13</v>
      </c>
      <c r="L18" s="5">
        <f>'P(F1)'!L9</f>
        <v>-2.1636862592579305E-15</v>
      </c>
      <c r="M18" s="5">
        <f>'P(F1)'!M9</f>
        <v>3.9858586873794797E-18</v>
      </c>
      <c r="Q18">
        <v>-2.3883697287531555E-3</v>
      </c>
      <c r="R18">
        <v>1.6341101006675463E-2</v>
      </c>
      <c r="S18">
        <v>-5.3335455653620911E-2</v>
      </c>
      <c r="T18">
        <v>0.109217138674257</v>
      </c>
      <c r="U18">
        <v>-0.15392377336880306</v>
      </c>
      <c r="V18">
        <v>0.15420504407604207</v>
      </c>
      <c r="W18">
        <v>-0.11016769254462061</v>
      </c>
      <c r="X18">
        <v>5.5061574329052419E-2</v>
      </c>
      <c r="Y18">
        <v>-1.834256025203709E-2</v>
      </c>
      <c r="Z18">
        <v>3.666050264769924E-3</v>
      </c>
      <c r="AA18">
        <v>-3.3305680292639782E-4</v>
      </c>
    </row>
    <row r="19" spans="1:32" x14ac:dyDescent="0.3">
      <c r="A19" t="s">
        <v>94</v>
      </c>
      <c r="C19" s="5">
        <f>'Données Générales'!B13</f>
        <v>8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Q19">
        <v>9.8023966122432374E-5</v>
      </c>
      <c r="R19">
        <v>-7.6187841247711639E-4</v>
      </c>
      <c r="S19">
        <v>2.7344031396473586E-3</v>
      </c>
      <c r="T19">
        <v>-5.9726339688637867E-3</v>
      </c>
      <c r="U19">
        <v>8.7786330782080382E-3</v>
      </c>
      <c r="V19">
        <v>-9.0437197556028949E-3</v>
      </c>
      <c r="W19">
        <v>6.5890564110304573E-3</v>
      </c>
      <c r="X19">
        <v>-3.341165848888039E-3</v>
      </c>
      <c r="Y19">
        <v>1.1254302730677149E-3</v>
      </c>
      <c r="Z19">
        <v>-2.2690961889101845E-4</v>
      </c>
      <c r="AA19">
        <v>2.0760736646511705E-5</v>
      </c>
    </row>
    <row r="20" spans="1:32" x14ac:dyDescent="0.3">
      <c r="Q20">
        <v>-2.613930354455834E-6</v>
      </c>
      <c r="R20">
        <v>2.2056691801956463E-5</v>
      </c>
      <c r="S20">
        <v>-8.4680572559497815E-5</v>
      </c>
      <c r="T20">
        <v>1.9495764205421979E-4</v>
      </c>
      <c r="U20">
        <v>-2.9814140946201494E-4</v>
      </c>
      <c r="V20">
        <v>3.1632969126573011E-4</v>
      </c>
      <c r="W20">
        <v>-2.3562249974205948E-4</v>
      </c>
      <c r="X20">
        <v>1.2152539815579157E-4</v>
      </c>
      <c r="Y20">
        <v>-4.1485457134674339E-5</v>
      </c>
      <c r="Z20">
        <v>8.4548826370538439E-6</v>
      </c>
      <c r="AA20">
        <v>-7.8043666204795083E-7</v>
      </c>
    </row>
    <row r="21" spans="1:32" x14ac:dyDescent="0.3">
      <c r="Q21">
        <v>4.6180484279636416E-8</v>
      </c>
      <c r="R21">
        <v>-4.1238502468600918E-7</v>
      </c>
      <c r="S21">
        <v>1.6639542124440248E-6</v>
      </c>
      <c r="T21">
        <v>-3.9971043952573542E-6</v>
      </c>
      <c r="U21">
        <v>6.3329284117207638E-6</v>
      </c>
      <c r="V21">
        <v>-6.9167829948168772E-6</v>
      </c>
      <c r="W21">
        <v>5.2744591729118401E-6</v>
      </c>
      <c r="X21">
        <v>-2.7726730806837046E-6</v>
      </c>
      <c r="Y21">
        <v>9.6138142502163415E-7</v>
      </c>
      <c r="Z21">
        <v>-1.9847834925278995E-7</v>
      </c>
      <c r="AA21">
        <v>1.8520138318825445E-8</v>
      </c>
    </row>
    <row r="22" spans="1:32" x14ac:dyDescent="0.3">
      <c r="Q22">
        <v>-5.3662046849232455E-10</v>
      </c>
      <c r="R22">
        <v>4.9919008210040819E-9</v>
      </c>
      <c r="S22">
        <v>-2.0917554559902446E-8</v>
      </c>
      <c r="T22">
        <v>5.2005175718590884E-8</v>
      </c>
      <c r="U22">
        <v>-8.4974072933831749E-8</v>
      </c>
      <c r="V22">
        <v>9.536765748067035E-8</v>
      </c>
      <c r="W22">
        <v>-7.4468729416510214E-8</v>
      </c>
      <c r="X22">
        <v>3.9956493994565221E-8</v>
      </c>
      <c r="Y22">
        <v>-1.41002571709933E-8</v>
      </c>
      <c r="Z22">
        <v>2.9554039689408358E-9</v>
      </c>
      <c r="AA22">
        <v>-2.7939743404127144E-10</v>
      </c>
    </row>
    <row r="23" spans="1:32" x14ac:dyDescent="0.3">
      <c r="Q23">
        <v>3.9421154708305044E-12</v>
      </c>
      <c r="R23">
        <v>-3.7808471105621509E-11</v>
      </c>
      <c r="S23">
        <v>1.6314982436437112E-10</v>
      </c>
      <c r="T23">
        <v>-4.1714749161188042E-10</v>
      </c>
      <c r="U23">
        <v>6.9990468307867163E-10</v>
      </c>
      <c r="V23">
        <v>-8.052666783682861E-10</v>
      </c>
      <c r="W23">
        <v>6.4346075700510123E-10</v>
      </c>
      <c r="X23">
        <v>-3.5264014752739081E-10</v>
      </c>
      <c r="Y23">
        <v>1.2686444331645366E-10</v>
      </c>
      <c r="Z23">
        <v>-2.7057247091256551E-11</v>
      </c>
      <c r="AA23">
        <v>2.5982124690071616E-12</v>
      </c>
    </row>
    <row r="24" spans="1:32" ht="12.9" thickBot="1" x14ac:dyDescent="0.35">
      <c r="Q24">
        <v>-1.6591395078398846E-14</v>
      </c>
      <c r="R24">
        <v>1.6289733348680719E-13</v>
      </c>
      <c r="S24">
        <v>-7.1946322285929504E-13</v>
      </c>
      <c r="T24">
        <v>1.8823691867552011E-12</v>
      </c>
      <c r="U24">
        <v>-3.2307971136547533E-12</v>
      </c>
      <c r="V24">
        <v>3.80093778060851E-12</v>
      </c>
      <c r="W24">
        <v>-3.1040991873766346E-12</v>
      </c>
      <c r="X24">
        <v>1.737571556720988E-12</v>
      </c>
      <c r="Y24">
        <v>-6.3801455596305883E-13</v>
      </c>
      <c r="Z24">
        <v>1.3876439514633201E-13</v>
      </c>
      <c r="AA24">
        <v>-1.3574777785698266E-14</v>
      </c>
    </row>
    <row r="25" spans="1:32" ht="12.9" thickBot="1" x14ac:dyDescent="0.35">
      <c r="A25" s="72" t="s">
        <v>95</v>
      </c>
      <c r="B25" s="73"/>
      <c r="C25" s="73">
        <f>'P(F1)'!C18</f>
        <v>0</v>
      </c>
      <c r="D25" s="73">
        <f>'P(F1)'!D18</f>
        <v>9.9000000022351742</v>
      </c>
      <c r="E25" s="73">
        <f>'P(F1)'!E18</f>
        <v>19.800000004470348</v>
      </c>
      <c r="F25" s="73">
        <f>'P(F1)'!F18</f>
        <v>29.700000006705523</v>
      </c>
      <c r="G25" s="73">
        <f>'P(F1)'!G18</f>
        <v>39.600000008940697</v>
      </c>
      <c r="H25" s="73">
        <f>'P(F1)'!H18</f>
        <v>49.500000011175871</v>
      </c>
      <c r="I25" s="73">
        <f>'P(F1)'!I18</f>
        <v>59.400000013411045</v>
      </c>
      <c r="J25" s="73">
        <f>'P(F1)'!J18</f>
        <v>69.300000015646219</v>
      </c>
      <c r="K25" s="73">
        <f>'P(F1)'!K18</f>
        <v>79.200000017881393</v>
      </c>
      <c r="L25" s="73">
        <f>'P(F1)'!L18</f>
        <v>89.100000020116568</v>
      </c>
      <c r="M25" s="74">
        <f>'P(F1)'!M18</f>
        <v>99.000000022351742</v>
      </c>
      <c r="Q25">
        <v>3.0470881684940285E-17</v>
      </c>
      <c r="R25">
        <v>-3.047088168193355E-16</v>
      </c>
      <c r="S25">
        <v>1.3711896755644493E-15</v>
      </c>
      <c r="T25">
        <v>-3.6565058012079802E-15</v>
      </c>
      <c r="U25">
        <v>6.3988851516393139E-15</v>
      </c>
      <c r="V25">
        <v>-7.678662181445846E-15</v>
      </c>
      <c r="W25">
        <v>6.3988851508063178E-15</v>
      </c>
      <c r="X25">
        <v>-3.6565058002514698E-15</v>
      </c>
      <c r="Y25">
        <v>1.3711896750220833E-15</v>
      </c>
      <c r="Z25">
        <v>-3.0470881665678627E-16</v>
      </c>
      <c r="AA25">
        <v>3.0470881664314043E-17</v>
      </c>
    </row>
    <row r="26" spans="1:32" x14ac:dyDescent="0.3">
      <c r="A26" s="70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65"/>
    </row>
    <row r="27" spans="1:32" x14ac:dyDescent="0.3">
      <c r="A27" s="70" t="s">
        <v>85</v>
      </c>
      <c r="B27" s="2"/>
      <c r="C27" s="4">
        <f>'Données Générales'!C25</f>
        <v>4.8000000715255737</v>
      </c>
      <c r="D27" s="4">
        <f>'Données Générales'!D25</f>
        <v>4.6756083520188607</v>
      </c>
      <c r="E27" s="4">
        <f>'Données Générales'!E25</f>
        <v>4.6233895677128967</v>
      </c>
      <c r="F27" s="4">
        <f>'Données Générales'!F25</f>
        <v>4.4720833230309376</v>
      </c>
      <c r="G27" s="4">
        <f>'Données Générales'!G25</f>
        <v>4.2083478640209151</v>
      </c>
      <c r="H27" s="4">
        <f>'Données Générales'!H25</f>
        <v>3.8195814370752741</v>
      </c>
      <c r="I27" s="4">
        <f>'Données Générales'!I25</f>
        <v>3.292971509785255</v>
      </c>
      <c r="J27" s="4">
        <f>'Données Générales'!J25</f>
        <v>2.6210831979510711</v>
      </c>
      <c r="K27" s="4">
        <f>'Données Générales'!K25</f>
        <v>1.8203468278847874</v>
      </c>
      <c r="L27" s="4">
        <f>'Données Générales'!L25</f>
        <v>0.94795259832366574</v>
      </c>
      <c r="M27" s="66">
        <f>'Données Générales'!M25</f>
        <v>8.4365636103703526E-2</v>
      </c>
    </row>
    <row r="28" spans="1:32" x14ac:dyDescent="0.3">
      <c r="A28" s="70" t="s">
        <v>86</v>
      </c>
      <c r="B28" s="2"/>
      <c r="C28" s="4">
        <f>'Données Générales'!C27</f>
        <v>0.5</v>
      </c>
      <c r="D28" s="4">
        <f>'Données Générales'!D27</f>
        <v>-1.2417417590049191</v>
      </c>
      <c r="E28" s="4">
        <f>'Données Générales'!E27</f>
        <v>-2.6350863130002997</v>
      </c>
      <c r="F28" s="4">
        <f>'Données Générales'!F27</f>
        <v>-3.6955143088737241</v>
      </c>
      <c r="G28" s="4">
        <f>'Données Générales'!G27</f>
        <v>-4.4167645045914155</v>
      </c>
      <c r="H28" s="4">
        <f>'Données Générales'!H27</f>
        <v>-4.7808712858580069</v>
      </c>
      <c r="I28" s="4">
        <f>'Données Générales'!I27</f>
        <v>-4.7707124581508547</v>
      </c>
      <c r="J28" s="4">
        <f>'Données Générales'!J27</f>
        <v>-4.3677739133041573</v>
      </c>
      <c r="K28" s="4">
        <f>'Données Générales'!K27</f>
        <v>-3.5296605546195075</v>
      </c>
      <c r="L28" s="4">
        <f>'Données Générales'!L27</f>
        <v>-2.1541482133419123</v>
      </c>
      <c r="M28" s="66">
        <f>'Données Générales'!M27</f>
        <v>4.2818726342375157E-9</v>
      </c>
      <c r="Q28" t="s">
        <v>85</v>
      </c>
      <c r="R28" t="s">
        <v>109</v>
      </c>
      <c r="S28" t="s">
        <v>86</v>
      </c>
      <c r="T28" t="s">
        <v>109</v>
      </c>
      <c r="U28" t="s">
        <v>87</v>
      </c>
      <c r="V28" t="s">
        <v>109</v>
      </c>
      <c r="W28" t="s">
        <v>88</v>
      </c>
      <c r="X28" t="s">
        <v>109</v>
      </c>
      <c r="Y28" t="s">
        <v>89</v>
      </c>
      <c r="Z28" t="s">
        <v>109</v>
      </c>
      <c r="AA28" t="s">
        <v>90</v>
      </c>
      <c r="AB28" t="s">
        <v>109</v>
      </c>
      <c r="AC28" t="s">
        <v>91</v>
      </c>
      <c r="AD28" t="s">
        <v>109</v>
      </c>
      <c r="AE28" t="s">
        <v>92</v>
      </c>
      <c r="AF28" t="s">
        <v>109</v>
      </c>
    </row>
    <row r="29" spans="1:32" x14ac:dyDescent="0.3">
      <c r="A29" s="70"/>
      <c r="B29" s="2"/>
      <c r="C29" s="4"/>
      <c r="D29" s="4"/>
      <c r="E29" s="4"/>
      <c r="F29" s="4"/>
      <c r="G29" s="4"/>
      <c r="H29" s="4"/>
      <c r="I29" s="4"/>
      <c r="J29" s="4"/>
      <c r="K29" s="4"/>
      <c r="L29" s="4"/>
      <c r="M29" s="66"/>
      <c r="Q29">
        <f t="array" ref="Q29:Q39">TRANSPOSE(C27:M27)</f>
        <v>4.8000000715255737</v>
      </c>
      <c r="R29">
        <f t="array" ref="R29:R39">MMULT(Q15:AA25,Q29:Q39)</f>
        <v>4.8000000715255737</v>
      </c>
      <c r="S29">
        <f t="array" ref="S29:S39">TRANSPOSE(C28:M28)</f>
        <v>0.5</v>
      </c>
      <c r="T29">
        <f t="array" ref="T29:T39">MMULT(Q15:AA25,S29:S39)</f>
        <v>0.5</v>
      </c>
      <c r="U29">
        <f t="array" ref="U29:U39">TRANSPOSE(C31:M31)</f>
        <v>8.3999998569488525</v>
      </c>
      <c r="V29">
        <f t="array" ref="V29:V39">MMULT(Q15:AA25,U29:U39)</f>
        <v>8.3999998569488525</v>
      </c>
      <c r="W29">
        <f t="array" ref="W29:W39">TRANSPOSE(C32:M32)</f>
        <v>1.2500000111758709</v>
      </c>
      <c r="X29">
        <f t="array" ref="X29:X39">MMULT(Q15:AA25,W29:W39)</f>
        <v>1.2500000111758709</v>
      </c>
      <c r="Y29">
        <f t="array" ref="Y29:Y39">TRANSPOSE(C34:M34)</f>
        <v>8.3999998569488525</v>
      </c>
      <c r="Z29">
        <f t="array" ref="Z29:Z39">MMULT(Q15:AA25,Y29:Y39)</f>
        <v>8.3999998569488525</v>
      </c>
      <c r="AA29">
        <f t="array" ref="AA29:AA39">TRANSPOSE(C35:M35)</f>
        <v>1.2500000111758709</v>
      </c>
      <c r="AB29">
        <f t="array" ref="AB29:AB39">MMULT(Q15:AA25,AA29:AA39)</f>
        <v>1.2500000111758709</v>
      </c>
      <c r="AC29">
        <f t="array" ref="AC29:AC39">TRANSPOSE(C38:M38)</f>
        <v>8.3999998569488525</v>
      </c>
      <c r="AD29">
        <f t="array" ref="AD29:AD39">MMULT(Q15:AA25,AC29:AC39)</f>
        <v>8.3999998569488525</v>
      </c>
      <c r="AE29">
        <f t="array" ref="AE29:AE39">TRANSPOSE(C39:M39)</f>
        <v>1.2500000111758709</v>
      </c>
      <c r="AF29">
        <f t="array" ref="AF29:AF39">MMULT(Q15:AA25,AE29:AE39)</f>
        <v>1.2500000111758709</v>
      </c>
    </row>
    <row r="30" spans="1:32" x14ac:dyDescent="0.3">
      <c r="A30" s="70"/>
      <c r="B30" s="2"/>
      <c r="C30" s="4"/>
      <c r="D30" s="4"/>
      <c r="E30" s="4"/>
      <c r="F30" s="4"/>
      <c r="G30" s="4"/>
      <c r="H30" s="4"/>
      <c r="I30" s="4"/>
      <c r="J30" s="4"/>
      <c r="K30" s="4"/>
      <c r="L30" s="4"/>
      <c r="M30" s="66"/>
      <c r="Q30">
        <v>4.6756083520188607</v>
      </c>
      <c r="R30">
        <v>-3.9697971369796754E-2</v>
      </c>
      <c r="S30">
        <v>-1.2417417590049191</v>
      </c>
      <c r="T30">
        <v>-0.19486403400775085</v>
      </c>
      <c r="U30">
        <v>9.0853977489292745</v>
      </c>
      <c r="V30">
        <v>9.5330036980208963E-2</v>
      </c>
      <c r="W30">
        <v>-0.17144278874085428</v>
      </c>
      <c r="X30">
        <v>-0.15160190156980466</v>
      </c>
      <c r="Y30">
        <v>9.687453260310896</v>
      </c>
      <c r="Z30">
        <v>0.20519767795755228</v>
      </c>
      <c r="AA30">
        <v>0.55918104889780751</v>
      </c>
      <c r="AB30">
        <v>-3.272326874535237E-2</v>
      </c>
      <c r="AC30">
        <v>10.088823760722248</v>
      </c>
      <c r="AD30">
        <v>0.27844280104743879</v>
      </c>
      <c r="AE30">
        <v>1.4359296018059129</v>
      </c>
      <c r="AF30">
        <v>0.10993108214111412</v>
      </c>
    </row>
    <row r="31" spans="1:32" x14ac:dyDescent="0.3">
      <c r="A31" s="70" t="s">
        <v>87</v>
      </c>
      <c r="B31" s="2"/>
      <c r="C31" s="4">
        <f>'Données Générales'!C29</f>
        <v>8.3999998569488525</v>
      </c>
      <c r="D31" s="4">
        <f>'Données Générales'!D29</f>
        <v>9.0853977489292745</v>
      </c>
      <c r="E31" s="4">
        <f>'Données Générales'!E29</f>
        <v>9.400381388569631</v>
      </c>
      <c r="F31" s="4">
        <f>'Données Générales'!F29</f>
        <v>9.4225661611024467</v>
      </c>
      <c r="G31" s="4">
        <f>'Données Générales'!G29</f>
        <v>9.142932101023959</v>
      </c>
      <c r="H31" s="4">
        <f>'Données Générales'!H29</f>
        <v>8.5297315034397254</v>
      </c>
      <c r="I31" s="4">
        <f>'Données Générales'!I29</f>
        <v>7.5420527510375139</v>
      </c>
      <c r="J31" s="4">
        <f>'Données Générales'!J29</f>
        <v>6.1466866014374455</v>
      </c>
      <c r="K31" s="4">
        <f>'Données Générales'!K29</f>
        <v>4.3652208346382233</v>
      </c>
      <c r="L31" s="4">
        <f>'Données Générales'!L29</f>
        <v>2.3220537241901389</v>
      </c>
      <c r="M31" s="66">
        <f>'Données Générales'!M29</f>
        <v>0.2109140818782862</v>
      </c>
      <c r="Q31">
        <v>4.6233895677128967</v>
      </c>
      <c r="R31">
        <v>5.3688116207531332E-3</v>
      </c>
      <c r="S31">
        <v>-2.6350863130002997</v>
      </c>
      <c r="T31">
        <v>2.033680210777314E-3</v>
      </c>
      <c r="U31">
        <v>9.400381388569631</v>
      </c>
      <c r="V31">
        <v>-3.2526972311018722E-3</v>
      </c>
      <c r="W31">
        <v>-1.3337698851666229</v>
      </c>
      <c r="X31">
        <v>2.3002093781629472E-4</v>
      </c>
      <c r="Y31">
        <v>10.273347867996975</v>
      </c>
      <c r="Z31">
        <v>-1.1684774222699435E-2</v>
      </c>
      <c r="AA31">
        <v>-0.1447310880443089</v>
      </c>
      <c r="AB31">
        <v>-7.7714345852347173E-3</v>
      </c>
      <c r="AC31">
        <v>10.855325752205717</v>
      </c>
      <c r="AD31">
        <v>-1.730616111750545E-2</v>
      </c>
      <c r="AE31">
        <v>1.2821153834557855</v>
      </c>
      <c r="AF31">
        <v>-1.7373180640581996E-2</v>
      </c>
    </row>
    <row r="32" spans="1:32" x14ac:dyDescent="0.3">
      <c r="A32" s="70" t="s">
        <v>88</v>
      </c>
      <c r="B32" s="2"/>
      <c r="C32" s="4">
        <f>'Données Générales'!C31</f>
        <v>1.2500000111758709</v>
      </c>
      <c r="D32" s="4">
        <f>'Données Générales'!D31</f>
        <v>-0.17144278874085428</v>
      </c>
      <c r="E32" s="4">
        <f>'Données Générales'!E31</f>
        <v>-1.3337698851666229</v>
      </c>
      <c r="F32" s="4">
        <f>'Données Générales'!F31</f>
        <v>-2.2056679814923572</v>
      </c>
      <c r="G32" s="4">
        <f>'Données Générales'!G31</f>
        <v>-2.7824354304795662</v>
      </c>
      <c r="H32" s="4">
        <f>'Données Générales'!H31</f>
        <v>-3.0509120600415844</v>
      </c>
      <c r="I32" s="4">
        <f>'Données Générales'!I31</f>
        <v>-2.9990335823883436</v>
      </c>
      <c r="J32" s="4">
        <f>'Données Générales'!J31</f>
        <v>-2.6136153547632217</v>
      </c>
      <c r="K32" s="4">
        <f>'Données Générales'!K31</f>
        <v>-1.8610723407242729</v>
      </c>
      <c r="L32" s="4">
        <f>'Données Générales'!L31</f>
        <v>-0.65707979301733199</v>
      </c>
      <c r="M32" s="66">
        <f>'Données Générales'!M31</f>
        <v>1.2000000513233076</v>
      </c>
      <c r="Q32">
        <v>4.4720833230309376</v>
      </c>
      <c r="R32">
        <v>-3.8887391377769812E-4</v>
      </c>
      <c r="S32">
        <v>-3.6955143088737241</v>
      </c>
      <c r="T32">
        <v>-1.7319564962949017E-5</v>
      </c>
      <c r="U32">
        <v>9.4225661611024467</v>
      </c>
      <c r="V32">
        <v>7.7086807480331664E-5</v>
      </c>
      <c r="W32">
        <v>-2.2056679814923572</v>
      </c>
      <c r="X32">
        <v>8.5493891796638885E-5</v>
      </c>
      <c r="Y32">
        <v>10.486846408453154</v>
      </c>
      <c r="Z32">
        <v>5.8216415963952581E-4</v>
      </c>
      <c r="AA32">
        <v>-0.60419372934371163</v>
      </c>
      <c r="AB32">
        <v>5.9090134765517614E-4</v>
      </c>
      <c r="AC32">
        <v>11.196366855291652</v>
      </c>
      <c r="AD32">
        <v>9.188825282126019E-4</v>
      </c>
      <c r="AE32">
        <v>1.3175752586882972</v>
      </c>
      <c r="AF32">
        <v>1.197390258535357E-3</v>
      </c>
    </row>
    <row r="33" spans="1:32" x14ac:dyDescent="0.3">
      <c r="A33" s="70"/>
      <c r="B33" s="2"/>
      <c r="C33" s="4"/>
      <c r="D33" s="4"/>
      <c r="E33" s="4"/>
      <c r="F33" s="4"/>
      <c r="G33" s="4"/>
      <c r="H33" s="4"/>
      <c r="I33" s="4"/>
      <c r="J33" s="4"/>
      <c r="K33" s="4"/>
      <c r="L33" s="4"/>
      <c r="M33" s="66"/>
      <c r="Q33">
        <v>4.2083478640209151</v>
      </c>
      <c r="R33">
        <v>1.6108549257509574E-5</v>
      </c>
      <c r="S33">
        <v>-4.4167645045914155</v>
      </c>
      <c r="T33">
        <v>7.1298308279664511E-7</v>
      </c>
      <c r="U33">
        <v>9.142932101023959</v>
      </c>
      <c r="V33">
        <v>-1.5828338887358891E-6</v>
      </c>
      <c r="W33">
        <v>-2.7824354304795662</v>
      </c>
      <c r="X33">
        <v>-3.4302004173951425E-6</v>
      </c>
      <c r="Y33">
        <v>10.328480983609266</v>
      </c>
      <c r="Z33">
        <v>-2.1431360554844863E-5</v>
      </c>
      <c r="AA33">
        <v>-0.81917258025751005</v>
      </c>
      <c r="AB33">
        <v>-2.3789624550053329E-5</v>
      </c>
      <c r="AC33">
        <v>11.118847219396052</v>
      </c>
      <c r="AD33">
        <v>-3.4663716923694296E-5</v>
      </c>
      <c r="AE33">
        <v>1.5367426995854565</v>
      </c>
      <c r="AF33">
        <v>-4.822093205299492E-5</v>
      </c>
    </row>
    <row r="34" spans="1:32" x14ac:dyDescent="0.3">
      <c r="A34" s="70" t="s">
        <v>89</v>
      </c>
      <c r="B34" s="2"/>
      <c r="C34" s="4">
        <f>'Données Générales'!C33</f>
        <v>8.3999998569488525</v>
      </c>
      <c r="D34" s="4">
        <f>'Données Générales'!D33</f>
        <v>9.687453260310896</v>
      </c>
      <c r="E34" s="4">
        <f>'Données Générales'!E33</f>
        <v>10.273347867996975</v>
      </c>
      <c r="F34" s="4">
        <f>'Données Générales'!F33</f>
        <v>10.486846408453154</v>
      </c>
      <c r="G34" s="4">
        <f>'Données Générales'!G33</f>
        <v>10.328480983609266</v>
      </c>
      <c r="H34" s="4">
        <f>'Données Générales'!H33</f>
        <v>9.7600407982901682</v>
      </c>
      <c r="I34" s="4">
        <f>'Données Générales'!I33</f>
        <v>8.7282877793764726</v>
      </c>
      <c r="J34" s="4">
        <f>'Données Générales'!J33</f>
        <v>7.1865472227528562</v>
      </c>
      <c r="K34" s="4">
        <f>'Données Générales'!K33</f>
        <v>5.151630049004094</v>
      </c>
      <c r="L34" s="4">
        <f>'Données Générales'!L33</f>
        <v>2.7641448153697072</v>
      </c>
      <c r="M34" s="66">
        <f>'Données Générales'!M33</f>
        <v>0.25309689154916531</v>
      </c>
      <c r="Q34">
        <v>3.8195814370752741</v>
      </c>
      <c r="R34">
        <v>-4.3755029805985746E-7</v>
      </c>
      <c r="S34">
        <v>-4.7808712858580069</v>
      </c>
      <c r="T34">
        <v>-2.6719356309049629E-8</v>
      </c>
      <c r="U34">
        <v>8.5297315034397254</v>
      </c>
      <c r="V34">
        <v>5.1949041547640206E-9</v>
      </c>
      <c r="W34">
        <v>-3.0509120600415844</v>
      </c>
      <c r="X34">
        <v>8.3369062482116777E-8</v>
      </c>
      <c r="Y34">
        <v>9.7600407982901682</v>
      </c>
      <c r="Z34">
        <v>5.1913343269867341E-7</v>
      </c>
      <c r="AA34">
        <v>-0.79155187111592751</v>
      </c>
      <c r="AB34">
        <v>6.2045143006083986E-7</v>
      </c>
      <c r="AC34">
        <v>10.580247320777842</v>
      </c>
      <c r="AD34">
        <v>8.6175925454247489E-7</v>
      </c>
      <c r="AE34">
        <v>1.9196801939928259</v>
      </c>
      <c r="AF34">
        <v>1.2649502327393908E-6</v>
      </c>
    </row>
    <row r="35" spans="1:32" x14ac:dyDescent="0.3">
      <c r="A35" s="70" t="s">
        <v>90</v>
      </c>
      <c r="B35" s="2"/>
      <c r="C35" s="4">
        <f>'Données Générales'!C35</f>
        <v>1.2500000111758709</v>
      </c>
      <c r="D35" s="4">
        <f>'Données Générales'!D35</f>
        <v>0.55918104889780751</v>
      </c>
      <c r="E35" s="4">
        <f>'Données Générales'!E35</f>
        <v>-0.1447310880443089</v>
      </c>
      <c r="F35" s="4">
        <f>'Données Générales'!F35</f>
        <v>-0.60419372934371163</v>
      </c>
      <c r="G35" s="4">
        <f>'Données Générales'!G35</f>
        <v>-0.81917258025751005</v>
      </c>
      <c r="H35" s="4">
        <f>'Données Générales'!H35</f>
        <v>-0.79155187111592751</v>
      </c>
      <c r="I35" s="4">
        <f>'Données Générales'!I35</f>
        <v>-0.52599574890725176</v>
      </c>
      <c r="J35" s="4">
        <f>'Données Générales'!J35</f>
        <v>-2.6709842145096196E-2</v>
      </c>
      <c r="K35" s="4">
        <f>'Données Générales'!K35</f>
        <v>0.71703813503844138</v>
      </c>
      <c r="L35" s="4">
        <f>'Données Générales'!L35</f>
        <v>1.7511879109644024</v>
      </c>
      <c r="M35" s="66">
        <f>'Données Générales'!M35</f>
        <v>3.2000000502528394</v>
      </c>
      <c r="Q35">
        <v>3.292971509785255</v>
      </c>
      <c r="R35">
        <v>7.8889104026724435E-9</v>
      </c>
      <c r="S35">
        <v>-4.7707124581508547</v>
      </c>
      <c r="T35">
        <v>7.3800894896158351E-10</v>
      </c>
      <c r="U35">
        <v>7.5420527510375139</v>
      </c>
      <c r="V35">
        <v>4.5816952098432654E-10</v>
      </c>
      <c r="W35">
        <v>-2.9990335823883436</v>
      </c>
      <c r="X35">
        <v>-1.227877405442018E-9</v>
      </c>
      <c r="Y35">
        <v>8.7282877793764726</v>
      </c>
      <c r="Z35">
        <v>-8.4401113886101388E-9</v>
      </c>
      <c r="AA35">
        <v>-0.52599574890725176</v>
      </c>
      <c r="AB35">
        <v>-1.068830385161745E-8</v>
      </c>
      <c r="AC35">
        <v>9.5191114458474591</v>
      </c>
      <c r="AD35">
        <v>-1.4372301018930519E-8</v>
      </c>
      <c r="AE35">
        <v>2.4416494743846089</v>
      </c>
      <c r="AF35">
        <v>-2.2040814910351088E-8</v>
      </c>
    </row>
    <row r="36" spans="1:32" x14ac:dyDescent="0.3">
      <c r="A36" s="70"/>
      <c r="B36" s="2"/>
      <c r="C36" s="4"/>
      <c r="D36" s="4"/>
      <c r="E36" s="4"/>
      <c r="F36" s="4"/>
      <c r="G36" s="4"/>
      <c r="H36" s="4"/>
      <c r="I36" s="4"/>
      <c r="J36" s="4"/>
      <c r="K36" s="4"/>
      <c r="L36" s="4"/>
      <c r="M36" s="66"/>
      <c r="Q36">
        <v>2.6210831979510711</v>
      </c>
      <c r="R36">
        <v>-9.3510090310185268E-11</v>
      </c>
      <c r="S36">
        <v>-4.3677739133041573</v>
      </c>
      <c r="T36">
        <v>-1.2590926668988343E-11</v>
      </c>
      <c r="U36">
        <v>6.1466866014374455</v>
      </c>
      <c r="V36">
        <v>-1.0753509557468581E-11</v>
      </c>
      <c r="W36">
        <v>-2.6136153547632217</v>
      </c>
      <c r="X36">
        <v>1.0686842876735934E-11</v>
      </c>
      <c r="Y36">
        <v>7.1865472227528562</v>
      </c>
      <c r="Z36">
        <v>9.1172571604271617E-11</v>
      </c>
      <c r="AA36">
        <v>-2.6709842145096196E-2</v>
      </c>
      <c r="AB36">
        <v>1.2078021733383116E-10</v>
      </c>
      <c r="AC36">
        <v>7.8797879124321657</v>
      </c>
      <c r="AD36">
        <v>1.5912331938063954E-10</v>
      </c>
      <c r="AE36">
        <v>3.077576587966754</v>
      </c>
      <c r="AF36">
        <v>2.5289225880760331E-10</v>
      </c>
    </row>
    <row r="37" spans="1:32" x14ac:dyDescent="0.3">
      <c r="A37" s="70"/>
      <c r="B37" s="2"/>
      <c r="C37" s="4"/>
      <c r="D37" s="4"/>
      <c r="E37" s="4"/>
      <c r="F37" s="4"/>
      <c r="G37" s="4"/>
      <c r="H37" s="4"/>
      <c r="I37" s="4"/>
      <c r="J37" s="4"/>
      <c r="K37" s="4"/>
      <c r="L37" s="4"/>
      <c r="M37" s="66"/>
      <c r="Q37">
        <v>1.8203468278847874</v>
      </c>
      <c r="R37">
        <v>6.9840218591372667E-13</v>
      </c>
      <c r="S37">
        <v>-3.5296605546195075</v>
      </c>
      <c r="T37">
        <v>1.2533592424655112E-13</v>
      </c>
      <c r="U37">
        <v>4.3652208346382233</v>
      </c>
      <c r="V37">
        <v>1.0937638077202351E-13</v>
      </c>
      <c r="W37">
        <v>-1.8610723407242729</v>
      </c>
      <c r="X37">
        <v>-4.9586152414629664E-14</v>
      </c>
      <c r="Y37">
        <v>5.151630049004094</v>
      </c>
      <c r="Z37">
        <v>-6.3250845185117095E-13</v>
      </c>
      <c r="AA37">
        <v>0.71703813503844138</v>
      </c>
      <c r="AB37">
        <v>-8.615285000715586E-13</v>
      </c>
      <c r="AC37">
        <v>5.6759030669086705</v>
      </c>
      <c r="AD37">
        <v>-1.1270985368029657E-12</v>
      </c>
      <c r="AE37">
        <v>3.8107705215528682</v>
      </c>
      <c r="AF37">
        <v>-1.8358592591830063E-12</v>
      </c>
    </row>
    <row r="38" spans="1:32" x14ac:dyDescent="0.3">
      <c r="A38" s="70" t="s">
        <v>91</v>
      </c>
      <c r="B38" s="2"/>
      <c r="C38" s="4">
        <f>'Données Générales'!C37</f>
        <v>8.3999998569488525</v>
      </c>
      <c r="D38" s="4">
        <f>'Données Générales'!D37</f>
        <v>10.088823760722248</v>
      </c>
      <c r="E38" s="4">
        <f>'Données Générales'!E37</f>
        <v>10.855325752205717</v>
      </c>
      <c r="F38" s="4">
        <f>'Données Générales'!F37</f>
        <v>11.196366855291652</v>
      </c>
      <c r="G38" s="4">
        <f>'Données Générales'!G37</f>
        <v>11.118847219396052</v>
      </c>
      <c r="H38" s="4">
        <f>'Données Générales'!H37</f>
        <v>10.580247320777842</v>
      </c>
      <c r="I38" s="4">
        <f>'Données Générales'!I37</f>
        <v>9.5191114458474591</v>
      </c>
      <c r="J38" s="4">
        <f>'Données Générales'!J37</f>
        <v>7.8797879124321657</v>
      </c>
      <c r="K38" s="4">
        <f>'Données Générales'!K37</f>
        <v>5.6759030669086705</v>
      </c>
      <c r="L38" s="4">
        <f>'Données Générales'!L37</f>
        <v>3.0588723266035824</v>
      </c>
      <c r="M38" s="66">
        <f>'Données Générales'!M37</f>
        <v>0.28121877583771493</v>
      </c>
      <c r="Q38">
        <v>0.94795259832366574</v>
      </c>
      <c r="R38">
        <v>-2.9697416200962869E-15</v>
      </c>
      <c r="S38">
        <v>-2.1541482133419123</v>
      </c>
      <c r="T38">
        <v>-6.7028932467038997E-16</v>
      </c>
      <c r="U38">
        <v>2.3220537241901389</v>
      </c>
      <c r="V38">
        <v>-5.3222254457500487E-16</v>
      </c>
      <c r="W38">
        <v>-0.65707979301733199</v>
      </c>
      <c r="X38">
        <v>8.3796156899359534E-17</v>
      </c>
      <c r="Y38">
        <v>2.7641448153697072</v>
      </c>
      <c r="Z38">
        <v>2.5776604341709735E-15</v>
      </c>
      <c r="AA38">
        <v>1.7511879109644024</v>
      </c>
      <c r="AB38">
        <v>3.5190785903018914E-15</v>
      </c>
      <c r="AC38">
        <v>3.0588723266035824</v>
      </c>
      <c r="AD38">
        <v>4.650916577194522E-15</v>
      </c>
      <c r="AE38">
        <v>4.6411089834897536</v>
      </c>
      <c r="AF38">
        <v>7.6414172646647743E-15</v>
      </c>
    </row>
    <row r="39" spans="1:32" ht="12.9" thickBot="1" x14ac:dyDescent="0.35">
      <c r="A39" s="71" t="s">
        <v>92</v>
      </c>
      <c r="B39" s="67"/>
      <c r="C39" s="68">
        <f>'Données Générales'!C39</f>
        <v>1.2500000111758709</v>
      </c>
      <c r="D39" s="68">
        <f>'Données Générales'!D39</f>
        <v>1.4359296018059129</v>
      </c>
      <c r="E39" s="68">
        <f>'Données Générales'!E39</f>
        <v>1.2821153834557855</v>
      </c>
      <c r="F39" s="68">
        <f>'Données Générales'!F39</f>
        <v>1.3175752586882972</v>
      </c>
      <c r="G39" s="68">
        <f>'Données Générales'!G39</f>
        <v>1.5367426995854565</v>
      </c>
      <c r="H39" s="68">
        <f>'Données Générales'!H39</f>
        <v>1.9196801939928259</v>
      </c>
      <c r="I39" s="68">
        <f>'Données Générales'!I39</f>
        <v>2.4416494743846089</v>
      </c>
      <c r="J39" s="68">
        <f>'Données Générales'!J39</f>
        <v>3.077576587966754</v>
      </c>
      <c r="K39" s="68">
        <f>'Données Générales'!K39</f>
        <v>3.8107705215528682</v>
      </c>
      <c r="L39" s="68">
        <f>'Données Générales'!L39</f>
        <v>4.6411089834897536</v>
      </c>
      <c r="M39" s="69">
        <f>'Données Générales'!M39</f>
        <v>5.5999999059171301</v>
      </c>
      <c r="Q39">
        <v>8.4365636103703526E-2</v>
      </c>
      <c r="R39">
        <v>5.4682387495918191E-18</v>
      </c>
      <c r="S39">
        <v>4.2818726342375157E-9</v>
      </c>
      <c r="T39">
        <v>1.5015808710893047E-18</v>
      </c>
      <c r="U39">
        <v>0.2109140818782862</v>
      </c>
      <c r="V39">
        <v>9.9480765576598652E-19</v>
      </c>
      <c r="W39">
        <v>1.2000000513233076</v>
      </c>
      <c r="X39">
        <v>8.1433243820658155E-20</v>
      </c>
      <c r="Y39">
        <v>0.25309689154916531</v>
      </c>
      <c r="Z39">
        <v>-4.7215981066858252E-18</v>
      </c>
      <c r="AA39">
        <v>3.2000000502528394</v>
      </c>
      <c r="AB39">
        <v>-6.268513878102738E-18</v>
      </c>
      <c r="AC39">
        <v>0.28121877583771493</v>
      </c>
      <c r="AD39">
        <v>-8.5325367960083171E-18</v>
      </c>
      <c r="AE39">
        <v>5.5999999059171301</v>
      </c>
      <c r="AF39">
        <v>-1.3888449970206028E-17</v>
      </c>
    </row>
  </sheetData>
  <sheetProtection sheet="1" objects="1" scenarios="1"/>
  <phoneticPr fontId="2" type="noConversion"/>
  <pageMargins left="0.75" right="0.75" top="1" bottom="1" header="0.4921259845" footer="0.492125984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M41"/>
  <sheetViews>
    <sheetView workbookViewId="0">
      <selection activeCell="B6" sqref="B6"/>
    </sheetView>
  </sheetViews>
  <sheetFormatPr defaultRowHeight="12.45" x14ac:dyDescent="0.3"/>
  <cols>
    <col min="1" max="1" width="12.53515625" bestFit="1" customWidth="1"/>
    <col min="2" max="3" width="10.69140625" customWidth="1"/>
    <col min="4" max="5" width="11.07421875" customWidth="1"/>
    <col min="6" max="13" width="10.69140625" customWidth="1"/>
    <col min="14" max="256" width="11.07421875" customWidth="1"/>
  </cols>
  <sheetData>
    <row r="1" spans="1:13" x14ac:dyDescent="0.3">
      <c r="A1" s="64"/>
      <c r="B1" s="64"/>
      <c r="C1" s="64"/>
      <c r="F1" s="64"/>
      <c r="G1" s="64"/>
      <c r="H1" s="64"/>
      <c r="I1" s="80"/>
      <c r="J1" s="64"/>
      <c r="K1" s="64"/>
      <c r="L1" s="1"/>
    </row>
    <row r="2" spans="1:13" x14ac:dyDescent="0.3">
      <c r="A2" s="113">
        <f>5*9.81/1000/100</f>
        <v>4.9050000000000005E-4</v>
      </c>
      <c r="B2" s="64"/>
      <c r="C2" s="64"/>
      <c r="F2" s="64"/>
      <c r="G2" s="64"/>
      <c r="H2" s="64"/>
      <c r="I2" s="64"/>
      <c r="J2" s="64"/>
      <c r="K2" s="64"/>
      <c r="L2" s="1"/>
    </row>
    <row r="3" spans="1:13" x14ac:dyDescent="0.3">
      <c r="A3" s="64"/>
      <c r="B3" s="64"/>
      <c r="C3" s="64"/>
      <c r="F3" s="64"/>
      <c r="G3" s="64"/>
      <c r="H3" s="64"/>
      <c r="I3" s="64"/>
      <c r="J3" s="64"/>
      <c r="K3" s="64"/>
      <c r="L3" s="1"/>
    </row>
    <row r="4" spans="1:13" x14ac:dyDescent="0.3">
      <c r="A4" s="64"/>
      <c r="B4" s="64"/>
      <c r="C4" s="64"/>
      <c r="F4" s="64"/>
      <c r="G4" s="64"/>
      <c r="H4" s="64"/>
      <c r="I4" s="64"/>
      <c r="J4" s="64"/>
      <c r="K4" s="64"/>
      <c r="L4" s="1"/>
    </row>
    <row r="5" spans="1:13" x14ac:dyDescent="0.3">
      <c r="A5" s="64"/>
      <c r="B5" s="64"/>
      <c r="C5" s="64"/>
      <c r="F5" s="64"/>
      <c r="G5" s="64"/>
      <c r="H5" s="64"/>
      <c r="I5" s="64"/>
      <c r="J5" s="64"/>
      <c r="K5" s="64"/>
      <c r="L5" s="1"/>
    </row>
    <row r="6" spans="1:13" x14ac:dyDescent="0.3">
      <c r="A6" s="64"/>
      <c r="B6" s="64"/>
      <c r="C6" s="64"/>
      <c r="F6" s="64"/>
      <c r="G6" s="64"/>
      <c r="H6" s="64"/>
      <c r="I6" s="64"/>
      <c r="J6" s="64"/>
      <c r="K6" s="64"/>
      <c r="L6" s="1"/>
    </row>
    <row r="7" spans="1:13" x14ac:dyDescent="0.3">
      <c r="A7" s="64"/>
      <c r="B7" s="64"/>
      <c r="C7" s="64"/>
      <c r="F7" s="64"/>
      <c r="G7" s="64"/>
      <c r="H7" s="64"/>
      <c r="I7" s="64"/>
      <c r="J7" s="64"/>
      <c r="K7" s="64"/>
      <c r="L7" s="1"/>
    </row>
    <row r="8" spans="1:13" x14ac:dyDescent="0.3">
      <c r="A8" s="64"/>
      <c r="B8" s="64"/>
      <c r="C8" s="64"/>
      <c r="F8" s="64"/>
      <c r="G8" s="64"/>
      <c r="H8" s="64"/>
      <c r="I8" s="64"/>
      <c r="J8" s="64"/>
      <c r="K8" s="64"/>
      <c r="L8" s="1"/>
    </row>
    <row r="9" spans="1:13" x14ac:dyDescent="0.3">
      <c r="A9" s="64"/>
      <c r="B9" s="64"/>
      <c r="C9" s="64"/>
      <c r="F9" s="64"/>
      <c r="G9" s="64"/>
      <c r="H9" s="64"/>
      <c r="I9" s="64"/>
      <c r="J9" s="64"/>
      <c r="K9" s="64"/>
      <c r="L9" s="63"/>
    </row>
    <row r="10" spans="1:13" x14ac:dyDescent="0.3">
      <c r="A10" s="64"/>
      <c r="B10" s="64"/>
      <c r="C10" s="64"/>
      <c r="F10" s="64"/>
      <c r="G10" s="64"/>
      <c r="H10" s="64"/>
      <c r="I10" s="64"/>
      <c r="J10" s="64"/>
      <c r="K10" s="64"/>
      <c r="L10" s="1"/>
    </row>
    <row r="11" spans="1:13" x14ac:dyDescent="0.3">
      <c r="A11" s="64"/>
      <c r="B11" s="64"/>
      <c r="C11" s="64"/>
      <c r="F11" s="64"/>
      <c r="G11" s="64"/>
      <c r="H11" s="64"/>
      <c r="I11" s="64"/>
      <c r="J11" s="64"/>
      <c r="K11" s="64"/>
      <c r="L11" s="1"/>
    </row>
    <row r="12" spans="1:13" x14ac:dyDescent="0.3">
      <c r="A12" s="64"/>
      <c r="B12" s="64"/>
      <c r="C12" s="64"/>
      <c r="F12" s="64"/>
      <c r="G12" s="64"/>
      <c r="H12" s="64"/>
      <c r="I12" s="64"/>
      <c r="J12" s="64"/>
      <c r="K12" s="64"/>
    </row>
    <row r="13" spans="1:13" x14ac:dyDescent="0.3">
      <c r="A13" s="64"/>
      <c r="B13" s="64"/>
      <c r="C13" s="64"/>
      <c r="F13" s="64"/>
      <c r="G13" s="64"/>
      <c r="H13" s="64"/>
      <c r="I13" s="64"/>
      <c r="J13" s="64"/>
      <c r="K13" s="64"/>
      <c r="L13" s="64"/>
      <c r="M13" s="64"/>
    </row>
    <row r="14" spans="1:13" x14ac:dyDescent="0.3">
      <c r="A14" s="64"/>
      <c r="B14" s="64"/>
      <c r="C14" s="64"/>
      <c r="F14" s="64"/>
      <c r="G14" s="64"/>
      <c r="H14" s="64"/>
      <c r="I14" s="64"/>
      <c r="J14" s="64"/>
      <c r="K14" s="64"/>
    </row>
    <row r="15" spans="1:13" x14ac:dyDescent="0.3">
      <c r="A15" s="64"/>
      <c r="B15" s="64"/>
      <c r="C15" s="64"/>
      <c r="F15" s="64"/>
      <c r="G15" s="64"/>
      <c r="H15" s="64"/>
      <c r="I15" s="64"/>
      <c r="J15" s="64"/>
      <c r="K15" s="64"/>
      <c r="M15" s="1"/>
    </row>
    <row r="16" spans="1:13" x14ac:dyDescent="0.3">
      <c r="A16" s="64"/>
      <c r="B16" s="64"/>
      <c r="C16" s="64"/>
      <c r="F16" s="64"/>
      <c r="G16" s="64"/>
      <c r="H16" s="64"/>
      <c r="I16" s="64"/>
      <c r="J16" s="64"/>
      <c r="K16" s="64"/>
    </row>
    <row r="17" spans="1:13" x14ac:dyDescent="0.3">
      <c r="A17" s="64"/>
      <c r="B17" s="64"/>
      <c r="C17" s="64"/>
      <c r="F17" s="64"/>
      <c r="G17" s="64"/>
      <c r="H17" s="64"/>
      <c r="I17" s="64"/>
      <c r="J17" s="64"/>
      <c r="K17" s="64"/>
    </row>
    <row r="18" spans="1:13" x14ac:dyDescent="0.3">
      <c r="A18" s="64"/>
      <c r="B18" s="64"/>
      <c r="C18" s="64"/>
      <c r="F18" s="64"/>
      <c r="G18" s="64"/>
      <c r="H18" s="64"/>
      <c r="I18" s="64"/>
      <c r="J18" s="64"/>
      <c r="K18" s="64"/>
    </row>
    <row r="19" spans="1:13" x14ac:dyDescent="0.3">
      <c r="A19" s="64"/>
      <c r="B19" s="64"/>
      <c r="C19" s="64"/>
      <c r="F19" s="64"/>
      <c r="G19" s="64"/>
      <c r="H19" s="64"/>
      <c r="I19" s="64"/>
      <c r="J19" s="64"/>
      <c r="K19" s="64"/>
    </row>
    <row r="20" spans="1:13" x14ac:dyDescent="0.3">
      <c r="A20" s="64"/>
      <c r="B20" s="64"/>
      <c r="C20" s="64"/>
      <c r="F20" s="64"/>
      <c r="G20" s="64"/>
      <c r="H20" s="64"/>
      <c r="I20" s="64"/>
      <c r="J20" s="64"/>
      <c r="K20" s="64"/>
    </row>
    <row r="21" spans="1:13" x14ac:dyDescent="0.3">
      <c r="A21" s="64"/>
      <c r="B21" s="64"/>
      <c r="C21" s="64"/>
      <c r="F21" s="64"/>
      <c r="G21" s="64"/>
      <c r="H21" s="64"/>
      <c r="I21" s="64"/>
      <c r="J21" s="64"/>
      <c r="K21" s="64"/>
      <c r="L21" s="64"/>
    </row>
    <row r="22" spans="1:13" x14ac:dyDescent="0.3">
      <c r="A22" s="64"/>
      <c r="B22" s="64"/>
      <c r="C22" s="64"/>
      <c r="F22" s="64"/>
      <c r="G22" s="64"/>
      <c r="H22" s="64"/>
      <c r="I22" s="64"/>
      <c r="J22" s="64"/>
      <c r="K22" s="64"/>
      <c r="L22" s="64"/>
    </row>
    <row r="23" spans="1:13" x14ac:dyDescent="0.3">
      <c r="A23" s="64"/>
      <c r="B23" s="64"/>
      <c r="C23" s="64"/>
      <c r="F23" s="64"/>
      <c r="G23" s="64"/>
      <c r="H23" s="64"/>
      <c r="I23" s="64"/>
      <c r="J23" s="64"/>
      <c r="K23" s="64"/>
      <c r="L23" s="64"/>
    </row>
    <row r="24" spans="1:13" x14ac:dyDescent="0.3">
      <c r="A24" s="64"/>
      <c r="B24" s="64"/>
      <c r="C24" s="64"/>
      <c r="F24" s="64"/>
      <c r="G24" s="64"/>
      <c r="H24" s="64"/>
      <c r="I24" s="64"/>
      <c r="J24" s="64"/>
      <c r="K24" s="64"/>
      <c r="L24" s="64"/>
    </row>
    <row r="25" spans="1:13" x14ac:dyDescent="0.3">
      <c r="A25" s="64"/>
      <c r="B25" s="64"/>
      <c r="C25" s="64"/>
      <c r="F25" s="64"/>
      <c r="G25" s="64"/>
      <c r="H25" s="64"/>
      <c r="I25" s="64"/>
      <c r="J25" s="64"/>
      <c r="K25" s="64"/>
      <c r="L25" s="64"/>
    </row>
    <row r="26" spans="1:13" x14ac:dyDescent="0.3">
      <c r="A26" s="64"/>
      <c r="B26" s="64"/>
      <c r="C26" s="64"/>
      <c r="F26" s="64"/>
      <c r="G26" s="64"/>
      <c r="H26" s="64"/>
      <c r="I26" s="64"/>
      <c r="J26" s="64"/>
      <c r="K26" s="64"/>
      <c r="L26" s="64"/>
    </row>
    <row r="27" spans="1:13" x14ac:dyDescent="0.3">
      <c r="A27" s="64"/>
      <c r="B27" s="64"/>
      <c r="C27" s="64"/>
      <c r="F27" s="64"/>
      <c r="G27" s="64"/>
      <c r="H27" s="64"/>
      <c r="I27" s="64"/>
      <c r="J27" s="64"/>
      <c r="K27" s="64"/>
      <c r="L27" s="64"/>
    </row>
    <row r="28" spans="1:13" x14ac:dyDescent="0.3">
      <c r="A28" s="64"/>
      <c r="B28" s="64"/>
      <c r="C28" s="64"/>
      <c r="F28" s="64"/>
      <c r="G28" s="64"/>
      <c r="H28" s="64"/>
      <c r="I28" s="64"/>
      <c r="J28" s="64"/>
      <c r="K28" s="64"/>
      <c r="L28" s="64"/>
    </row>
    <row r="29" spans="1:13" x14ac:dyDescent="0.3">
      <c r="A29" s="64"/>
      <c r="B29" s="64"/>
      <c r="C29" s="64"/>
      <c r="F29" s="64"/>
      <c r="G29" s="64"/>
      <c r="H29" s="64"/>
      <c r="I29" s="64"/>
      <c r="J29" s="64"/>
      <c r="K29" s="64"/>
      <c r="L29" s="64"/>
    </row>
    <row r="30" spans="1:13" x14ac:dyDescent="0.3">
      <c r="A30" s="64"/>
      <c r="B30" s="64"/>
      <c r="C30" s="64"/>
      <c r="F30" s="64"/>
      <c r="G30" s="64"/>
      <c r="H30" s="64"/>
      <c r="I30" s="64"/>
      <c r="J30" s="64"/>
      <c r="K30" s="64"/>
      <c r="L30" s="64"/>
    </row>
    <row r="31" spans="1:13" x14ac:dyDescent="0.3">
      <c r="A31" s="64"/>
      <c r="B31" s="64"/>
      <c r="C31" s="64"/>
      <c r="F31" s="64"/>
      <c r="G31" s="64"/>
      <c r="H31" s="64"/>
      <c r="I31" s="64"/>
      <c r="J31" s="3"/>
      <c r="K31" s="3"/>
      <c r="L31" s="3"/>
    </row>
    <row r="32" spans="1:13" x14ac:dyDescent="0.3">
      <c r="A32" s="64"/>
      <c r="B32" s="64"/>
      <c r="C32" s="64"/>
      <c r="F32" s="64"/>
      <c r="G32" s="64"/>
      <c r="H32" s="64"/>
      <c r="I32" s="64"/>
      <c r="J32" s="64"/>
      <c r="K32" s="64"/>
      <c r="L32" s="5"/>
      <c r="M32" s="5"/>
    </row>
    <row r="33" spans="1:13" x14ac:dyDescent="0.3">
      <c r="A33" s="64"/>
      <c r="B33" s="64"/>
      <c r="C33" s="64"/>
      <c r="F33" s="5"/>
      <c r="G33" s="5"/>
      <c r="H33" s="5"/>
      <c r="I33" s="5"/>
      <c r="J33" s="5"/>
      <c r="K33" s="5"/>
      <c r="L33" s="5"/>
      <c r="M33" s="5"/>
    </row>
    <row r="34" spans="1:13" x14ac:dyDescent="0.3">
      <c r="A34" s="64"/>
      <c r="B34" s="64"/>
      <c r="C34" s="64"/>
      <c r="F34" s="5"/>
      <c r="G34" s="5"/>
      <c r="H34" s="5"/>
      <c r="I34" s="5"/>
      <c r="J34" s="5"/>
      <c r="K34" s="5"/>
      <c r="L34" s="5"/>
      <c r="M34" s="5"/>
    </row>
    <row r="35" spans="1:13" x14ac:dyDescent="0.3">
      <c r="A35" s="64"/>
      <c r="B35" s="64"/>
      <c r="C35" s="64"/>
      <c r="F35" s="5"/>
      <c r="G35" s="5"/>
      <c r="H35" s="5"/>
      <c r="I35" s="5"/>
      <c r="J35" s="5"/>
      <c r="K35" s="5"/>
      <c r="L35" s="5"/>
      <c r="M35" s="5"/>
    </row>
    <row r="36" spans="1:13" x14ac:dyDescent="0.3">
      <c r="A36" s="64"/>
      <c r="B36" s="64"/>
      <c r="C36" s="64"/>
      <c r="F36" s="5"/>
      <c r="G36" s="5"/>
      <c r="H36" s="5"/>
      <c r="I36" s="5"/>
      <c r="J36" s="5"/>
      <c r="K36" s="5"/>
      <c r="L36" s="5"/>
      <c r="M36" s="5"/>
    </row>
    <row r="37" spans="1:13" x14ac:dyDescent="0.3">
      <c r="A37" s="64"/>
      <c r="B37" s="64"/>
      <c r="C37" s="64"/>
      <c r="F37" s="5"/>
      <c r="G37" s="5"/>
      <c r="H37" s="5"/>
      <c r="I37" s="5"/>
      <c r="J37" s="5"/>
      <c r="K37" s="5"/>
      <c r="L37" s="5"/>
      <c r="M37" s="5"/>
    </row>
    <row r="38" spans="1:13" x14ac:dyDescent="0.3">
      <c r="A38" s="64"/>
      <c r="B38" s="64"/>
      <c r="C38" s="64"/>
      <c r="F38" s="5"/>
      <c r="G38" s="5"/>
      <c r="H38" s="5"/>
      <c r="I38" s="5"/>
      <c r="J38" s="5"/>
      <c r="K38" s="5"/>
      <c r="L38" s="5"/>
      <c r="M38" s="5"/>
    </row>
    <row r="39" spans="1:13" x14ac:dyDescent="0.3">
      <c r="A39" s="64"/>
      <c r="B39" s="64"/>
      <c r="C39" s="64"/>
      <c r="F39" s="5"/>
      <c r="G39" s="5"/>
      <c r="H39" s="5"/>
      <c r="I39" s="5"/>
      <c r="J39" s="5"/>
      <c r="K39" s="5"/>
      <c r="L39" s="5"/>
      <c r="M39" s="5"/>
    </row>
    <row r="40" spans="1:13" x14ac:dyDescent="0.3">
      <c r="A40" s="64"/>
      <c r="B40" s="64"/>
      <c r="C40" s="64"/>
      <c r="F40" s="5"/>
      <c r="G40" s="5"/>
      <c r="H40" s="5"/>
      <c r="I40" s="5"/>
      <c r="J40" s="5"/>
      <c r="K40" s="5"/>
      <c r="L40" s="5"/>
      <c r="M40" s="5"/>
    </row>
    <row r="41" spans="1:13" x14ac:dyDescent="0.3">
      <c r="A41" s="64"/>
      <c r="B41" s="64"/>
      <c r="C41" s="64"/>
    </row>
  </sheetData>
  <phoneticPr fontId="2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Charts</vt:lpstr>
      </vt:variant>
      <vt:variant>
        <vt:i4>6</vt:i4>
      </vt:variant>
    </vt:vector>
  </HeadingPairs>
  <TitlesOfParts>
    <vt:vector size="19" baseType="lpstr">
      <vt:lpstr>Données Générales</vt:lpstr>
      <vt:lpstr>Gréément</vt:lpstr>
      <vt:lpstr>Voiles</vt:lpstr>
      <vt:lpstr>Plan derive</vt:lpstr>
      <vt:lpstr>Resultats</vt:lpstr>
      <vt:lpstr>Parametrique</vt:lpstr>
      <vt:lpstr>P(F1)</vt:lpstr>
      <vt:lpstr>P(H1)</vt:lpstr>
      <vt:lpstr>Formes_2</vt:lpstr>
      <vt:lpstr>formes</vt:lpstr>
      <vt:lpstr>Aires</vt:lpstr>
      <vt:lpstr>Polynomes</vt:lpstr>
      <vt:lpstr>Vide</vt:lpstr>
      <vt:lpstr>Plans_XY</vt:lpstr>
      <vt:lpstr>Plans_XZ</vt:lpstr>
      <vt:lpstr>Courb_aires</vt:lpstr>
      <vt:lpstr>Assiette</vt:lpstr>
      <vt:lpstr>Surfaces</vt:lpstr>
      <vt:lpstr>Crx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</dc:creator>
  <cp:lastModifiedBy>Vincent WEBER</cp:lastModifiedBy>
  <cp:lastPrinted>2004-05-18T20:02:47Z</cp:lastPrinted>
  <dcterms:created xsi:type="dcterms:W3CDTF">2003-11-06T14:15:34Z</dcterms:created>
  <dcterms:modified xsi:type="dcterms:W3CDTF">2023-03-31T15:05:18Z</dcterms:modified>
</cp:coreProperties>
</file>